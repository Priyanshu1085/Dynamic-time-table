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tables/table1.xml" ContentType="application/vnd.openxmlformats-officedocument.spreadsheetml.table+xml"/>
  <Override PartName="/xl/drawings/drawing22.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tables/table2.xml" ContentType="application/vnd.openxmlformats-officedocument.spreadsheetml.table+xml"/>
  <Override PartName="/xl/drawings/drawing23.xml" ContentType="application/vnd.openxmlformats-officedocument.drawing+xml"/>
  <Override PartName="/xl/ctrlProps/ctrlProp75.xml" ContentType="application/vnd.ms-excel.controlproperties+xml"/>
  <Override PartName="/xl/ctrlProps/ctrlProp7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DMRC\OPERATIONS\"/>
    </mc:Choice>
  </mc:AlternateContent>
  <xr:revisionPtr revIDLastSave="0" documentId="13_ncr:1_{410B52C9-AE8C-433F-93C1-107608BEAC04}" xr6:coauthVersionLast="47" xr6:coauthVersionMax="47" xr10:uidLastSave="{00000000-0000-0000-0000-000000000000}"/>
  <bookViews>
    <workbookView showSheetTabs="0" xWindow="-108" yWindow="-108" windowWidth="23256" windowHeight="12456" firstSheet="16" activeTab="21" xr2:uid="{00000000-000D-0000-FFFF-FFFF00000000}"/>
  </bookViews>
  <sheets>
    <sheet name="SCHEDULE 87" sheetId="24" r:id="rId1"/>
    <sheet name="SCHEDULE 86" sheetId="21" r:id="rId2"/>
    <sheet name="SCHEDULE 85" sheetId="19" r:id="rId3"/>
    <sheet name="SCHEDULE 84" sheetId="25" r:id="rId4"/>
    <sheet name="SCHEDULE 83" sheetId="26" r:id="rId5"/>
    <sheet name="SCHEDULE 82" sheetId="27" r:id="rId6"/>
    <sheet name="SCHEDULE 81" sheetId="28" r:id="rId7"/>
    <sheet name="SCHEDULE 67" sheetId="29" r:id="rId8"/>
    <sheet name="SCHEDULE 66" sheetId="18" r:id="rId9"/>
    <sheet name="SCHEDULE 65" sheetId="17" r:id="rId10"/>
    <sheet name="SCHEDULE 64" sheetId="30" r:id="rId11"/>
    <sheet name="SCHEDULE 63" sheetId="31" r:id="rId12"/>
    <sheet name="SCHEDULE 62" sheetId="32" r:id="rId13"/>
    <sheet name="SCHEDULE 61" sheetId="33" r:id="rId14"/>
    <sheet name="SCHEDULE 47" sheetId="34" r:id="rId15"/>
    <sheet name="SCHEDULE 46" sheetId="16" r:id="rId16"/>
    <sheet name="SCHEDULE 45" sheetId="22" r:id="rId17"/>
    <sheet name="SCHEDULE 43" sheetId="35" r:id="rId18"/>
    <sheet name="SCHEDULE 42" sheetId="36" r:id="rId19"/>
    <sheet name="SCHEDULE 41" sheetId="37" r:id="rId20"/>
    <sheet name="WORK_PLACE2" sheetId="2" r:id="rId21"/>
    <sheet name="WORK_PLACE" sheetId="23" r:id="rId22"/>
    <sheet name="SOURCE" sheetId="1" r:id="rId23"/>
  </sheets>
  <definedNames>
    <definedName name="_xlnm.Print_Area" localSheetId="19">'SCHEDULE 41'!$A$1:$H$19</definedName>
    <definedName name="_xlnm.Print_Area" localSheetId="18">'SCHEDULE 42'!$A$1:$H$21</definedName>
    <definedName name="_xlnm.Print_Area" localSheetId="17">'SCHEDULE 43'!$A$1:$H$25</definedName>
    <definedName name="_xlnm.Print_Area" localSheetId="16">'SCHEDULE 45'!$A$1:$H$27</definedName>
    <definedName name="_xlnm.Print_Area" localSheetId="15">'SCHEDULE 46'!$A$1:$H$29</definedName>
    <definedName name="_xlnm.Print_Area" localSheetId="14">'SCHEDULE 47'!$A$1:$H$31</definedName>
    <definedName name="_xlnm.Print_Area" localSheetId="13">'SCHEDULE 61'!$A$1:$I$19</definedName>
    <definedName name="_xlnm.Print_Area" localSheetId="12">'SCHEDULE 62'!$A$1:$I$21</definedName>
    <definedName name="_xlnm.Print_Area" localSheetId="11">'SCHEDULE 63'!$A$1:$I$23</definedName>
    <definedName name="_xlnm.Print_Area" localSheetId="10">'SCHEDULE 64'!$A$1:$I$25</definedName>
    <definedName name="_xlnm.Print_Area" localSheetId="9">'SCHEDULE 65'!$A$1:$I$27</definedName>
    <definedName name="_xlnm.Print_Area" localSheetId="8">'SCHEDULE 66'!$A$1:$I$29</definedName>
    <definedName name="_xlnm.Print_Area" localSheetId="7">'SCHEDULE 67'!$A$1:$I$31</definedName>
    <definedName name="_xlnm.Print_Area" localSheetId="6">'SCHEDULE 81'!$A$1:$J$19</definedName>
    <definedName name="_xlnm.Print_Area" localSheetId="5">'SCHEDULE 82'!$A$1:$J$21</definedName>
    <definedName name="_xlnm.Print_Area" localSheetId="4">'SCHEDULE 83'!$A$1:$J$23</definedName>
    <definedName name="_xlnm.Print_Area" localSheetId="3">'SCHEDULE 84'!$A$1:$J$25</definedName>
    <definedName name="_xlnm.Print_Area" localSheetId="2">'SCHEDULE 85'!$A$1:$J$27</definedName>
    <definedName name="_xlnm.Print_Area" localSheetId="1">'SCHEDULE 86'!$A$1:$J$29</definedName>
    <definedName name="_xlnm.Print_Area" localSheetId="0">'SCHEDULE 87'!$A$1:$J$31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 l="1"/>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3" i="2"/>
  <c r="A8" i="37"/>
  <c r="H4" i="37"/>
  <c r="A8" i="36"/>
  <c r="A10" i="36" s="1"/>
  <c r="H4" i="36"/>
  <c r="A10" i="35"/>
  <c r="A8" i="35"/>
  <c r="A14" i="35" s="1"/>
  <c r="H4" i="35"/>
  <c r="A8" i="34"/>
  <c r="A10" i="34" s="1"/>
  <c r="A16" i="34" s="1"/>
  <c r="H4" i="34"/>
  <c r="A8" i="33"/>
  <c r="I4" i="33"/>
  <c r="A8" i="32"/>
  <c r="A10" i="32" s="1"/>
  <c r="I4" i="32"/>
  <c r="A8" i="31"/>
  <c r="A10" i="31" s="1"/>
  <c r="I4" i="31"/>
  <c r="A8" i="30"/>
  <c r="A14" i="30" s="1"/>
  <c r="I4" i="30"/>
  <c r="A8" i="29"/>
  <c r="A12" i="29" s="1"/>
  <c r="A18" i="29" s="1"/>
  <c r="I4" i="29"/>
  <c r="A8" i="28"/>
  <c r="J4" i="28"/>
  <c r="A8" i="27"/>
  <c r="A10" i="27" s="1"/>
  <c r="J4" i="27"/>
  <c r="A8" i="26"/>
  <c r="A12" i="26" s="1"/>
  <c r="J4" i="26"/>
  <c r="A8" i="25"/>
  <c r="A10" i="25" s="1"/>
  <c r="J4" i="25"/>
  <c r="A8" i="24"/>
  <c r="A14" i="24" s="1"/>
  <c r="J4" i="24"/>
  <c r="A8" i="22"/>
  <c r="A10" i="22" s="1"/>
  <c r="A16" i="22" s="1"/>
  <c r="A8" i="17"/>
  <c r="A12" i="17" s="1"/>
  <c r="A8" i="19"/>
  <c r="A10" i="19" s="1"/>
  <c r="A16" i="19" s="1"/>
  <c r="A8" i="16"/>
  <c r="A12" i="16" s="1"/>
  <c r="A18" i="16" s="1"/>
  <c r="A8" i="18"/>
  <c r="A12" i="18" s="1"/>
  <c r="A18" i="18" s="1"/>
  <c r="A8" i="21"/>
  <c r="A12" i="21" s="1"/>
  <c r="A18" i="21" s="1"/>
  <c r="A10" i="29" l="1"/>
  <c r="A16" i="29" s="1"/>
  <c r="A12" i="31"/>
  <c r="A10" i="18"/>
  <c r="A16" i="18" s="1"/>
  <c r="A10" i="30"/>
  <c r="A12" i="30"/>
  <c r="A12" i="35"/>
  <c r="A14" i="34"/>
  <c r="A20" i="34" s="1"/>
  <c r="A12" i="34"/>
  <c r="A18" i="34" s="1"/>
  <c r="A14" i="29"/>
  <c r="A20" i="29" s="1"/>
  <c r="A10" i="26"/>
  <c r="A14" i="25"/>
  <c r="A12" i="25"/>
  <c r="A12" i="24"/>
  <c r="A20" i="24" s="1"/>
  <c r="A10" i="24"/>
  <c r="A14" i="22"/>
  <c r="A12" i="22"/>
  <c r="A10" i="17"/>
  <c r="A16" i="17" s="1"/>
  <c r="A14" i="17"/>
  <c r="A14" i="19"/>
  <c r="A12" i="19"/>
  <c r="A10" i="16"/>
  <c r="A16" i="16" s="1"/>
  <c r="A14" i="16"/>
  <c r="A14" i="18"/>
  <c r="A10" i="21"/>
  <c r="A16" i="21" s="1"/>
  <c r="A14" i="21"/>
  <c r="A16" i="24" l="1"/>
  <c r="A18" i="24"/>
  <c r="A57" i="2" l="1" a="1"/>
  <c r="A57" i="2" s="1"/>
  <c r="A58" i="2" a="1"/>
  <c r="A58" i="2" s="1"/>
  <c r="A51" i="2" a="1"/>
  <c r="A51" i="2" s="1"/>
  <c r="A52" i="2" a="1"/>
  <c r="A52" i="2" s="1"/>
  <c r="A53" i="2" a="1"/>
  <c r="A53" i="2" s="1"/>
  <c r="A54" i="2" a="1"/>
  <c r="A54" i="2" s="1"/>
  <c r="A55" i="2" a="1"/>
  <c r="A55" i="2" s="1"/>
  <c r="A56" i="2" a="1"/>
  <c r="A56" i="2" s="1"/>
  <c r="H4" i="22"/>
  <c r="H4" i="16"/>
  <c r="I4" i="17"/>
  <c r="I4" i="18"/>
  <c r="J4" i="21"/>
  <c r="J4" i="19"/>
  <c r="A3" i="2" a="1"/>
  <c r="A3" i="2" s="1"/>
  <c r="A4" i="2" a="1"/>
  <c r="A4" i="2" s="1"/>
  <c r="A5" i="2" a="1"/>
  <c r="A5" i="2" s="1"/>
  <c r="A6" i="2" a="1"/>
  <c r="A6" i="2" s="1"/>
  <c r="A7" i="2" a="1"/>
  <c r="A7" i="2" s="1"/>
  <c r="A8" i="2" a="1"/>
  <c r="A8" i="2" s="1"/>
  <c r="A9" i="2" a="1"/>
  <c r="A9" i="2" s="1"/>
  <c r="A10" i="2" a="1"/>
  <c r="A10" i="2" s="1"/>
  <c r="A11" i="2" a="1"/>
  <c r="A11" i="2" s="1"/>
  <c r="A12" i="2" a="1"/>
  <c r="A12" i="2" s="1"/>
  <c r="A13" i="2" a="1"/>
  <c r="A13" i="2" s="1"/>
  <c r="A14" i="2" a="1"/>
  <c r="A14" i="2" s="1"/>
  <c r="A15" i="2" a="1"/>
  <c r="A15" i="2" s="1"/>
  <c r="A16" i="2" a="1"/>
  <c r="A16" i="2" s="1"/>
  <c r="A17" i="2" a="1"/>
  <c r="A17" i="2" s="1"/>
  <c r="A18" i="2" a="1"/>
  <c r="A18" i="2" s="1"/>
  <c r="A19" i="2" a="1"/>
  <c r="A19" i="2" s="1"/>
  <c r="A20" i="2" a="1"/>
  <c r="A20" i="2" s="1"/>
  <c r="A21" i="2" a="1"/>
  <c r="A21" i="2" s="1"/>
  <c r="A22" i="2" a="1"/>
  <c r="A22" i="2" s="1"/>
  <c r="A23" i="2" a="1"/>
  <c r="A23" i="2" s="1"/>
  <c r="A24" i="2" a="1"/>
  <c r="A24" i="2" s="1"/>
  <c r="A25" i="2" a="1"/>
  <c r="A25" i="2" s="1"/>
  <c r="A26" i="2" a="1"/>
  <c r="A26" i="2" s="1"/>
  <c r="A27" i="2" a="1"/>
  <c r="A27" i="2" s="1"/>
  <c r="A28" i="2" a="1"/>
  <c r="A28" i="2" s="1"/>
  <c r="A29" i="2" a="1"/>
  <c r="A29" i="2" s="1"/>
  <c r="A30" i="2" a="1"/>
  <c r="A30" i="2" s="1"/>
  <c r="A31" i="2" a="1"/>
  <c r="A31" i="2" s="1"/>
  <c r="A32" i="2" a="1"/>
  <c r="A32" i="2" s="1"/>
  <c r="A33" i="2" a="1"/>
  <c r="A33" i="2" s="1"/>
  <c r="A34" i="2" a="1"/>
  <c r="A34" i="2" s="1"/>
  <c r="A35" i="2" a="1"/>
  <c r="A35" i="2" s="1"/>
  <c r="A36" i="2" a="1"/>
  <c r="A36" i="2" s="1"/>
  <c r="A37" i="2" a="1"/>
  <c r="A37" i="2" s="1"/>
  <c r="A38" i="2" a="1"/>
  <c r="A38" i="2" s="1"/>
  <c r="A39" i="2" a="1"/>
  <c r="A39" i="2" s="1"/>
  <c r="A40" i="2" a="1"/>
  <c r="A40" i="2" s="1"/>
  <c r="A41" i="2" a="1"/>
  <c r="A41" i="2" s="1"/>
  <c r="A42" i="2" a="1"/>
  <c r="A42" i="2" s="1"/>
  <c r="A43" i="2" a="1"/>
  <c r="A43" i="2" s="1"/>
  <c r="A44" i="2" a="1"/>
  <c r="A44" i="2" s="1"/>
  <c r="A45" i="2" a="1"/>
  <c r="A45" i="2" s="1"/>
  <c r="A46" i="2" a="1"/>
  <c r="A46" i="2" s="1"/>
  <c r="A47" i="2" a="1"/>
  <c r="A47" i="2" s="1"/>
  <c r="A48" i="2" a="1"/>
  <c r="A48" i="2" s="1"/>
  <c r="A49" i="2" a="1"/>
  <c r="A49" i="2" s="1"/>
  <c r="A50" i="2" a="1"/>
  <c r="A50" i="2" s="1"/>
  <c r="F11" i="2"/>
  <c r="F13" i="2"/>
  <c r="F3" i="2"/>
  <c r="F4" i="2"/>
  <c r="F5" i="2"/>
  <c r="F6" i="2"/>
  <c r="F7" i="2"/>
  <c r="F8" i="2"/>
  <c r="F9" i="2"/>
  <c r="F10" i="2"/>
  <c r="F12"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l="1"/>
  <c r="H5" i="36" l="1"/>
  <c r="H5" i="34"/>
  <c r="I5" i="30"/>
  <c r="I5" i="29"/>
  <c r="J5" i="25"/>
  <c r="I5" i="33"/>
  <c r="J5" i="28"/>
  <c r="J5" i="24"/>
  <c r="I5" i="32"/>
  <c r="I5" i="31"/>
  <c r="J5" i="27"/>
  <c r="H5" i="37"/>
  <c r="H5" i="35"/>
  <c r="J5" i="26"/>
  <c r="J5" i="19"/>
  <c r="H5" i="22"/>
  <c r="H5" i="16"/>
  <c r="I5" i="17"/>
  <c r="I5" i="18"/>
  <c r="J5"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<sst xmlns="http://schemas.openxmlformats.org/spreadsheetml/2006/main" count="8377" uniqueCount="392">
  <si>
    <t>T1</t>
  </si>
  <si>
    <t>T2</t>
  </si>
  <si>
    <t>T3</t>
  </si>
  <si>
    <t>TEACHING STAFF</t>
  </si>
  <si>
    <t>Give No. of hours per day</t>
  </si>
  <si>
    <t>Subject</t>
  </si>
  <si>
    <t>Sh Amit Kr Singh</t>
  </si>
  <si>
    <t>Sh R K Taneja</t>
  </si>
  <si>
    <t>Sh Ashwai Gupta</t>
  </si>
  <si>
    <t>Sh Surender</t>
  </si>
  <si>
    <t>MRGR 2013-V  (Platform Doors)</t>
  </si>
  <si>
    <t>Sh Ranvijay Kunal</t>
  </si>
  <si>
    <t>Sh Vineet</t>
  </si>
  <si>
    <t>Sh Mahender Chauhan</t>
  </si>
  <si>
    <t>Sh Abu Fahim</t>
  </si>
  <si>
    <t>Sh Neeraj</t>
  </si>
  <si>
    <t>Sh Ashwani Gupta</t>
  </si>
  <si>
    <t>Sh Amit Sharma</t>
  </si>
  <si>
    <t>Sh Sanjay</t>
  </si>
  <si>
    <t>Sh Shashank</t>
  </si>
  <si>
    <t>Sh K R Ranjan</t>
  </si>
  <si>
    <t>Sh S K Pandey</t>
  </si>
  <si>
    <t>Sh R K Dixit</t>
  </si>
  <si>
    <t>Sh Amit Singh</t>
  </si>
  <si>
    <t>Sh Lokesh</t>
  </si>
  <si>
    <t>Sh S B Sharma</t>
  </si>
  <si>
    <t>Sh Vinay</t>
  </si>
  <si>
    <t>Sh D K Katiyar</t>
  </si>
  <si>
    <t>RS1 Train operation procedures (Ch. 5.1-5.3) (Train Washing, Cab leaving procedure, Procedure for SUO/DUO/TUO)</t>
  </si>
  <si>
    <t>RS1 Train Operation of different sub systems (Ch. 6.1-6.3) (Saloon Door operation, Door Loop, Emergency Evacuation)</t>
  </si>
  <si>
    <t>RS1 Train Operation of different sub systems (Ch. 6.4-6.5) (AC Controls, Operation of Wipers)</t>
  </si>
  <si>
    <t>RS1 Train Operation of different sub systems (Ch. 6.6-6.8) (VCB Opening Closing Restting through TIMS, Operation of PAPIS, Cut Out Cocks)</t>
  </si>
  <si>
    <t>RS2 Train operation procedures Ch. 5 (except ch. 5.4) (Train Washing, Cab leaving procedure, Procedure for SUO/DUO/TUO, Activation &amp; Deactivation of Train on main line. Coupling mode selection, High Tractive effort, Fault Reset, Battery Reset)</t>
  </si>
  <si>
    <t>RS2 Train Operation of different sub systems (Ch. 6.1) (Door System)</t>
  </si>
  <si>
    <t>RS2 Train Operation of different sub systems (Ch. 6.2) (Traction Interlock)</t>
  </si>
  <si>
    <t>RS2 Train Operation of different sub systems (Ch. 6.3) (Emergency Evacuation)</t>
  </si>
  <si>
    <t>RS2 Train Operation of different sub systems (Ch. 6.4, 6.5 &amp; 6.8) (HVAC Control, Operation of PAPIS, Train Lighting)</t>
  </si>
  <si>
    <t>RS2 Train Operation of different sub systems (Ch. 6.6-6.7) (Cut out cocks, Control of Main Compressor)</t>
  </si>
  <si>
    <t>Train Operation in ATO mode Practical &amp; ATP Troubleshooting Practical simluator</t>
  </si>
  <si>
    <t>Demonstrate Train Driving in ATO mode on simluator</t>
  </si>
  <si>
    <t>Simulator Faculty</t>
  </si>
  <si>
    <t>Introduce various failures related to ATP on simulator and Explain their troubleshooting steps including  steps for switching
off ATP MCB &amp; steps for resetting ATP MCBsimluator</t>
  </si>
  <si>
    <t>Train initialization indication, Door Opening in Standby mode &amp; ATP MCB Resetting practical</t>
  </si>
  <si>
    <t>Crew Control Faculty</t>
  </si>
  <si>
    <t xml:space="preserve">driving mode selection &amp; Safety features of ATC &amp; degraded mode             </t>
  </si>
  <si>
    <t>Explain safety features of ATC &amp; Compare all the driving modes on the basis of safety features provided by ATC system   presentation</t>
  </si>
  <si>
    <t xml:space="preserve">ATP troubleshooting Practical </t>
  </si>
  <si>
    <t>Training Hour Completed</t>
  </si>
  <si>
    <t>Use option button value</t>
  </si>
  <si>
    <r>
      <rPr>
        <b/>
        <sz val="7.5"/>
        <rFont val="Calibri"/>
        <family val="1"/>
      </rPr>
      <t>S. No.</t>
    </r>
  </si>
  <si>
    <r>
      <rPr>
        <b/>
        <sz val="8"/>
        <rFont val="Calibri"/>
        <family val="1"/>
      </rPr>
      <t>Topic</t>
    </r>
  </si>
  <si>
    <r>
      <rPr>
        <b/>
        <sz val="8"/>
        <rFont val="Calibri"/>
        <family val="1"/>
      </rPr>
      <t>Sub Topic</t>
    </r>
  </si>
  <si>
    <r>
      <rPr>
        <b/>
        <sz val="8"/>
        <rFont val="Calibri"/>
        <family val="1"/>
      </rPr>
      <t>No. of Sessions</t>
    </r>
  </si>
  <si>
    <r>
      <rPr>
        <sz val="8"/>
        <rFont val="Calibri"/>
        <family val="1"/>
      </rPr>
      <t>Faculty 1</t>
    </r>
  </si>
  <si>
    <r>
      <rPr>
        <sz val="8"/>
        <rFont val="Calibri"/>
        <family val="1"/>
      </rPr>
      <t>Faculty 2</t>
    </r>
  </si>
  <si>
    <r>
      <rPr>
        <sz val="8"/>
        <rFont val="Calibri"/>
        <family val="1"/>
      </rPr>
      <t>Faculty 3</t>
    </r>
  </si>
  <si>
    <r>
      <rPr>
        <sz val="8"/>
        <rFont val="Calibri"/>
        <family val="1"/>
      </rPr>
      <t>Batch Coordinator</t>
    </r>
  </si>
  <si>
    <r>
      <rPr>
        <sz val="8"/>
        <rFont val="Calibri"/>
        <family val="1"/>
      </rPr>
      <t>MRGR</t>
    </r>
  </si>
  <si>
    <r>
      <rPr>
        <sz val="8"/>
        <rFont val="Calibri"/>
        <family val="1"/>
      </rPr>
      <t>MRGR 2013-Ch.I  (Preliminary, Definitions), Ch 2 (Relevant Rules)</t>
    </r>
  </si>
  <si>
    <r>
      <rPr>
        <sz val="8"/>
        <rFont val="Calibri"/>
        <family val="1"/>
      </rPr>
      <t>Sh Gaurav Saxena</t>
    </r>
  </si>
  <si>
    <r>
      <rPr>
        <sz val="8"/>
        <rFont val="Calibri"/>
        <family val="1"/>
      </rPr>
      <t>MRGR 2013-III (Signals and Control)</t>
    </r>
  </si>
  <si>
    <r>
      <rPr>
        <sz val="8"/>
        <rFont val="Calibri"/>
        <family val="1"/>
      </rPr>
      <t>Sh Abu Fahim</t>
    </r>
  </si>
  <si>
    <r>
      <rPr>
        <sz val="8"/>
        <rFont val="Calibri"/>
        <family val="1"/>
      </rPr>
      <t>Sh Lokesh</t>
    </r>
  </si>
  <si>
    <r>
      <rPr>
        <sz val="8"/>
        <rFont val="Calibri"/>
        <family val="1"/>
      </rPr>
      <t>Sh Surender</t>
    </r>
  </si>
  <si>
    <r>
      <rPr>
        <sz val="8"/>
        <rFont val="Calibri"/>
        <family val="1"/>
      </rPr>
      <t>MRGR 2013-IV (Speed &amp; Working of Trains)</t>
    </r>
  </si>
  <si>
    <r>
      <rPr>
        <sz val="8"/>
        <rFont val="Calibri"/>
        <family val="1"/>
      </rPr>
      <t>Sh Lokesh Kumar</t>
    </r>
  </si>
  <si>
    <r>
      <rPr>
        <sz val="8"/>
        <rFont val="Calibri"/>
        <family val="1"/>
      </rPr>
      <t>Sh D K katiyar</t>
    </r>
  </si>
  <si>
    <r>
      <rPr>
        <sz val="8"/>
        <rFont val="Calibri"/>
        <family val="1"/>
      </rPr>
      <t>MRGR 2013-VI (Control and Working of Staions)</t>
    </r>
  </si>
  <si>
    <r>
      <rPr>
        <sz val="8"/>
        <rFont val="Calibri"/>
        <family val="1"/>
      </rPr>
      <t>MRGR 2013-VII  (Accident and Unusual Occurrences)</t>
    </r>
  </si>
  <si>
    <r>
      <rPr>
        <sz val="8"/>
        <rFont val="Calibri"/>
        <family val="1"/>
      </rPr>
      <t>Sh Ashwani Gupta</t>
    </r>
  </si>
  <si>
    <r>
      <rPr>
        <sz val="8"/>
        <rFont val="Calibri"/>
        <family val="1"/>
      </rPr>
      <t xml:space="preserve">MRGR 2013-VIII (Systems of Working) &amp; MRGR 2013-XII (Other
</t>
    </r>
    <r>
      <rPr>
        <sz val="8"/>
        <rFont val="Calibri"/>
        <family val="1"/>
      </rPr>
      <t>Systems of Working)</t>
    </r>
  </si>
  <si>
    <r>
      <rPr>
        <sz val="8"/>
        <rFont val="Calibri"/>
        <family val="1"/>
      </rPr>
      <t>Sh Ashwani Guota</t>
    </r>
  </si>
  <si>
    <r>
      <rPr>
        <sz val="8"/>
        <rFont val="Calibri"/>
        <family val="1"/>
      </rPr>
      <t>MRGR 2013-IX (Single Line Working)</t>
    </r>
  </si>
  <si>
    <r>
      <rPr>
        <sz val="8"/>
        <rFont val="Calibri"/>
        <family val="1"/>
      </rPr>
      <t>MRGR 2013-XI (Power Supply and Traction Arrangement)</t>
    </r>
  </si>
  <si>
    <r>
      <rPr>
        <sz val="8"/>
        <rFont val="Calibri"/>
        <family val="1"/>
      </rPr>
      <t>Sh R K Taneja</t>
    </r>
  </si>
  <si>
    <r>
      <rPr>
        <sz val="8"/>
        <rFont val="Calibri"/>
        <family val="1"/>
      </rPr>
      <t>Safety Circular</t>
    </r>
  </si>
  <si>
    <r>
      <rPr>
        <sz val="8"/>
        <rFont val="Calibri"/>
        <family val="1"/>
      </rPr>
      <t>SC-31, SC-36, SC-39 &amp; SC-40</t>
    </r>
  </si>
  <si>
    <r>
      <rPr>
        <sz val="8"/>
        <rFont val="Calibri"/>
        <family val="1"/>
      </rPr>
      <t>SC-5, SC-6 with Role Play</t>
    </r>
  </si>
  <si>
    <r>
      <rPr>
        <sz val="8"/>
        <rFont val="Calibri"/>
        <family val="1"/>
      </rPr>
      <t>Sh R S Sharma</t>
    </r>
  </si>
  <si>
    <r>
      <rPr>
        <sz val="8"/>
        <rFont val="Calibri"/>
        <family val="1"/>
      </rPr>
      <t>Sh D K Katiyar</t>
    </r>
  </si>
  <si>
    <r>
      <rPr>
        <sz val="8"/>
        <rFont val="Calibri"/>
        <family val="1"/>
      </rPr>
      <t xml:space="preserve">Safety Circular
</t>
    </r>
    <r>
      <rPr>
        <sz val="8"/>
        <rFont val="Calibri"/>
        <family val="1"/>
      </rPr>
      <t>(Role Play)</t>
    </r>
  </si>
  <si>
    <r>
      <rPr>
        <sz val="8"/>
        <rFont val="Calibri"/>
        <family val="1"/>
      </rPr>
      <t>Role Play on situations based on SC-7 (A,B&amp;C), SC-25</t>
    </r>
  </si>
  <si>
    <r>
      <rPr>
        <sz val="8"/>
        <rFont val="Calibri"/>
        <family val="1"/>
      </rPr>
      <t>SC-4, SC-13,SC-17, SC-21  including MRGR (Ch X) and SC-29 A/B</t>
    </r>
  </si>
  <si>
    <r>
      <rPr>
        <sz val="8"/>
        <rFont val="Calibri"/>
        <family val="1"/>
      </rPr>
      <t>Safety Circular, Personal Safety</t>
    </r>
  </si>
  <si>
    <r>
      <rPr>
        <sz val="8"/>
        <rFont val="Calibri"/>
        <family val="1"/>
      </rPr>
      <t>Accident and Disaster Management Manual</t>
    </r>
  </si>
  <si>
    <r>
      <rPr>
        <sz val="8"/>
        <rFont val="Calibri"/>
        <family val="1"/>
      </rPr>
      <t>SC-30, SC-32, SC-33</t>
    </r>
  </si>
  <si>
    <r>
      <rPr>
        <sz val="8"/>
        <rFont val="Calibri"/>
        <family val="1"/>
      </rPr>
      <t>SC-16,SC-34,</t>
    </r>
    <r>
      <rPr>
        <u/>
        <sz val="8"/>
        <rFont val="Calibri"/>
        <family val="1"/>
      </rPr>
      <t>SC-41 A, SC 23 A/B</t>
    </r>
  </si>
  <si>
    <r>
      <rPr>
        <sz val="8"/>
        <rFont val="Calibri"/>
        <family val="1"/>
      </rPr>
      <t>SC-10, SC-26 and DO'S and Don'ts as regards to OHE</t>
    </r>
  </si>
  <si>
    <r>
      <rPr>
        <sz val="8"/>
        <rFont val="Calibri"/>
        <family val="1"/>
      </rPr>
      <t>SC-12 &amp; 12A</t>
    </r>
  </si>
  <si>
    <r>
      <rPr>
        <sz val="8"/>
        <rFont val="Calibri"/>
        <family val="1"/>
      </rPr>
      <t>Fire Officer</t>
    </r>
  </si>
  <si>
    <r>
      <rPr>
        <sz val="8"/>
        <rFont val="Calibri"/>
        <family val="1"/>
      </rPr>
      <t>DMRC Contigency Plan (Fire)</t>
    </r>
  </si>
  <si>
    <r>
      <rPr>
        <sz val="8"/>
        <rFont val="Calibri"/>
        <family val="1"/>
      </rPr>
      <t>Role Play on situations based on DMRC Contigency Plan (Fire)</t>
    </r>
  </si>
  <si>
    <r>
      <rPr>
        <sz val="8"/>
        <rFont val="Calibri"/>
        <family val="1"/>
      </rPr>
      <t>Contigency Plan DMRC (Security)</t>
    </r>
  </si>
  <si>
    <r>
      <rPr>
        <sz val="8"/>
        <rFont val="Calibri"/>
        <family val="1"/>
      </rPr>
      <t>Contigency Plan DMRC (Security) Reference : Revised Hand book for dealing with Serious Incidents/Accidents/Disasters</t>
    </r>
  </si>
  <si>
    <r>
      <rPr>
        <sz val="8"/>
        <rFont val="Calibri"/>
        <family val="1"/>
      </rPr>
      <t>Security Officer</t>
    </r>
  </si>
  <si>
    <r>
      <rPr>
        <sz val="8"/>
        <rFont val="Calibri"/>
        <family val="1"/>
      </rPr>
      <t>Contigency Plan DMRC (Ops)</t>
    </r>
  </si>
  <si>
    <r>
      <rPr>
        <sz val="8"/>
        <rFont val="Calibri"/>
        <family val="1"/>
      </rPr>
      <t>Contigency Plan DMRC (Ops) Reference : Revised Hand book for dealing with Serious Incidents/Accidents/Disasters &amp; Role of operation staff  &amp; Disaster Management Manual</t>
    </r>
  </si>
  <si>
    <r>
      <rPr>
        <sz val="8"/>
        <rFont val="Calibri"/>
        <family val="1"/>
      </rPr>
      <t>Role Play on situations based on Contigency Plan DMRC (Ops)</t>
    </r>
  </si>
  <si>
    <r>
      <rPr>
        <sz val="8"/>
        <rFont val="Calibri"/>
        <family val="1"/>
      </rPr>
      <t>Sh Gaurav</t>
    </r>
  </si>
  <si>
    <r>
      <rPr>
        <sz val="8"/>
        <rFont val="Calibri"/>
        <family val="1"/>
      </rPr>
      <t>Incident Handling</t>
    </r>
  </si>
  <si>
    <r>
      <rPr>
        <sz val="8"/>
        <rFont val="Calibri"/>
        <family val="1"/>
      </rPr>
      <t>Staff Response during Incident handling</t>
    </r>
  </si>
  <si>
    <r>
      <rPr>
        <sz val="8"/>
        <rFont val="Calibri"/>
        <family val="1"/>
      </rPr>
      <t>Feed Back</t>
    </r>
  </si>
  <si>
    <r>
      <rPr>
        <sz val="8"/>
        <rFont val="Calibri"/>
        <family val="1"/>
      </rPr>
      <t>Weekly Feedback from Trainees</t>
    </r>
  </si>
  <si>
    <r>
      <rPr>
        <sz val="8"/>
        <rFont val="Calibri"/>
        <family val="1"/>
      </rPr>
      <t>Practical</t>
    </r>
  </si>
  <si>
    <r>
      <rPr>
        <sz val="8"/>
        <rFont val="Calibri"/>
        <family val="1"/>
      </rPr>
      <t>Feedback session</t>
    </r>
  </si>
  <si>
    <r>
      <rPr>
        <sz val="8"/>
        <rFont val="Calibri"/>
        <family val="1"/>
      </rPr>
      <t>Overview</t>
    </r>
  </si>
  <si>
    <r>
      <rPr>
        <sz val="8"/>
        <rFont val="Calibri"/>
        <family val="1"/>
      </rPr>
      <t>Overview of RS1 Train &amp; its sub systems</t>
    </r>
  </si>
  <si>
    <r>
      <rPr>
        <sz val="8"/>
        <rFont val="Calibri"/>
        <family val="1"/>
      </rPr>
      <t xml:space="preserve">All Internal &amp; External Equiments, Bogie, Primary Suspension &amp;
</t>
    </r>
    <r>
      <rPr>
        <sz val="8"/>
        <rFont val="Calibri"/>
        <family val="1"/>
      </rPr>
      <t>Couplers in RS1 Train</t>
    </r>
  </si>
  <si>
    <r>
      <rPr>
        <sz val="8"/>
        <rFont val="Calibri"/>
        <family val="1"/>
      </rPr>
      <t>Sh S K Pandey</t>
    </r>
  </si>
  <si>
    <r>
      <rPr>
        <sz val="8"/>
        <rFont val="Calibri"/>
        <family val="1"/>
      </rPr>
      <t>Cab Equipments &amp; their functionality in RS1 Train.</t>
    </r>
  </si>
  <si>
    <r>
      <rPr>
        <sz val="8"/>
        <rFont val="Calibri"/>
        <family val="1"/>
      </rPr>
      <t>Train Sub Systems</t>
    </r>
  </si>
  <si>
    <r>
      <rPr>
        <sz val="8"/>
        <rFont val="Calibri"/>
        <family val="1"/>
      </rPr>
      <t>Train Integrated Management System in RS1 Train</t>
    </r>
  </si>
  <si>
    <r>
      <rPr>
        <sz val="8"/>
        <rFont val="Calibri"/>
        <family val="1"/>
      </rPr>
      <t>Current Collection System &amp; Propulsion System in RS1 Train</t>
    </r>
  </si>
  <si>
    <r>
      <rPr>
        <sz val="8"/>
        <rFont val="Calibri"/>
        <family val="1"/>
      </rPr>
      <t>Auxilliary &amp; Battery System and Training Lighting in RS1 train</t>
    </r>
  </si>
  <si>
    <r>
      <rPr>
        <sz val="8"/>
        <rFont val="Calibri"/>
        <family val="1"/>
      </rPr>
      <t>Door System and Door loop in RS1 Train</t>
    </r>
  </si>
  <si>
    <r>
      <rPr>
        <sz val="8"/>
        <rFont val="Calibri"/>
        <family val="1"/>
      </rPr>
      <t>Aircon System in RS1 Train</t>
    </r>
  </si>
  <si>
    <r>
      <rPr>
        <sz val="8"/>
        <rFont val="Calibri"/>
        <family val="1"/>
      </rPr>
      <t>PA/PIS  System in RS1 Train</t>
    </r>
  </si>
  <si>
    <r>
      <rPr>
        <sz val="8"/>
        <rFont val="Calibri"/>
        <family val="1"/>
      </rPr>
      <t>Brake System in RS1 Train (including Airsupply System)</t>
    </r>
  </si>
  <si>
    <r>
      <rPr>
        <sz val="8"/>
        <rFont val="Calibri"/>
        <family val="1"/>
      </rPr>
      <t>Schematic view of Cab Control, Motoring &amp; Braking in RS 1 Train, Brake loop and Emergency Brake loop in RS1 Train</t>
    </r>
  </si>
  <si>
    <r>
      <rPr>
        <sz val="8"/>
        <rFont val="Calibri"/>
        <family val="1"/>
      </rPr>
      <t>Driving Basic in RS1 Train (Ch.1)</t>
    </r>
  </si>
  <si>
    <r>
      <rPr>
        <sz val="8"/>
        <rFont val="Calibri"/>
        <family val="1"/>
      </rPr>
      <t xml:space="preserve">RS1 Train preparation, System Status &amp; Fault Indicators and
</t>
    </r>
    <r>
      <rPr>
        <sz val="8"/>
        <rFont val="Calibri"/>
        <family val="1"/>
      </rPr>
      <t>stabling of train (Ins 24, Ch 3&amp;4)</t>
    </r>
  </si>
  <si>
    <r>
      <rPr>
        <sz val="8"/>
        <rFont val="Calibri"/>
        <family val="1"/>
      </rPr>
      <t>Operating Manual</t>
    </r>
  </si>
  <si>
    <r>
      <rPr>
        <sz val="8"/>
        <rFont val="Calibri"/>
        <family val="1"/>
      </rPr>
      <t>Sh K R Ranjan</t>
    </r>
  </si>
  <si>
    <r>
      <rPr>
        <sz val="8"/>
        <rFont val="Calibri"/>
        <family val="1"/>
      </rPr>
      <t>Sh R K Dixit</t>
    </r>
  </si>
  <si>
    <r>
      <rPr>
        <sz val="8"/>
        <rFont val="Calibri"/>
        <family val="1"/>
      </rPr>
      <t>Sh Vinay</t>
    </r>
  </si>
  <si>
    <r>
      <rPr>
        <sz val="8"/>
        <rFont val="Calibri"/>
        <family val="1"/>
      </rPr>
      <t>RS1 Rescue Operation (Ch. 7)</t>
    </r>
  </si>
  <si>
    <r>
      <rPr>
        <sz val="8"/>
        <rFont val="Calibri"/>
        <family val="1"/>
      </rPr>
      <t>Troubleshooting Manual</t>
    </r>
  </si>
  <si>
    <r>
      <rPr>
        <sz val="8"/>
        <rFont val="Calibri"/>
        <family val="1"/>
      </rPr>
      <t>RS1 Troubleshooting Concept (Ch.1) &amp; RS13 Features</t>
    </r>
  </si>
  <si>
    <r>
      <rPr>
        <sz val="8"/>
        <rFont val="Calibri"/>
        <family val="1"/>
      </rPr>
      <t>RS1 Brake System Failure Troubleshooting (Ch. 2)</t>
    </r>
  </si>
  <si>
    <r>
      <rPr>
        <sz val="8"/>
        <rFont val="Calibri"/>
        <family val="1"/>
      </rPr>
      <t>RS1 Power Supply System Failure Troubleshooting (Ch. 3.1-3.2)</t>
    </r>
  </si>
  <si>
    <r>
      <rPr>
        <sz val="8"/>
        <rFont val="Calibri"/>
        <family val="1"/>
      </rPr>
      <t>RS1 Power Supply System Failure Troubleshooting (Ch. 3.3-3.5)</t>
    </r>
  </si>
  <si>
    <r>
      <rPr>
        <sz val="8"/>
        <rFont val="Calibri"/>
        <family val="1"/>
      </rPr>
      <t>RS1 Door System Failure Troubleshooting (Ch.4)</t>
    </r>
  </si>
  <si>
    <r>
      <rPr>
        <sz val="8"/>
        <rFont val="Calibri"/>
        <family val="1"/>
      </rPr>
      <t>Sh Surender Singh</t>
    </r>
  </si>
  <si>
    <r>
      <rPr>
        <sz val="8"/>
        <rFont val="Calibri"/>
        <family val="1"/>
      </rPr>
      <t>RS1 VCC Faults Troubleshooting (Ch.5)</t>
    </r>
  </si>
  <si>
    <r>
      <rPr>
        <sz val="8"/>
        <rFont val="Calibri"/>
        <family val="1"/>
      </rPr>
      <t>RS1 TIMS, Aircon &amp; PA/ PIS faults troubleshooting (Ch.6,7&amp;8)</t>
    </r>
  </si>
  <si>
    <r>
      <rPr>
        <sz val="8"/>
        <rFont val="Calibri"/>
        <family val="1"/>
      </rPr>
      <t>Sh S B Sharma</t>
    </r>
  </si>
  <si>
    <r>
      <rPr>
        <sz val="8"/>
        <rFont val="Calibri"/>
        <family val="1"/>
      </rPr>
      <t xml:space="preserve">RS1 Train Procedure for 6car &amp; 8car (OTM Part A Ch.5(5.4),
</t>
    </r>
    <r>
      <rPr>
        <sz val="8"/>
        <rFont val="Calibri"/>
        <family val="1"/>
      </rPr>
      <t>Temporary Instructions and correction slip</t>
    </r>
  </si>
  <si>
    <r>
      <rPr>
        <sz val="8"/>
        <rFont val="Calibri"/>
        <family val="1"/>
      </rPr>
      <t>Familarization of RS1 train ( Interior &amp; Exterior Equipments, Different Panels in Saloon, Familarization of Door system,  PA/ PIS system of RS1 train in Depot</t>
    </r>
  </si>
  <si>
    <r>
      <rPr>
        <sz val="8"/>
        <rFont val="Calibri"/>
        <family val="1"/>
      </rPr>
      <t>Crew Control Faculty</t>
    </r>
  </si>
  <si>
    <r>
      <rPr>
        <sz val="8"/>
        <rFont val="Calibri"/>
        <family val="1"/>
      </rPr>
      <t>Familarization of Cab and TIMS of RS1 Train</t>
    </r>
  </si>
  <si>
    <r>
      <rPr>
        <sz val="8"/>
        <rFont val="Calibri"/>
        <family val="1"/>
      </rPr>
      <t>Familarisation with RS13 Train</t>
    </r>
  </si>
  <si>
    <r>
      <rPr>
        <sz val="8"/>
        <rFont val="Calibri"/>
        <family val="1"/>
      </rPr>
      <t xml:space="preserve">Practical for Door  Isolation , ERD operation &amp; PEA handling in
</t>
    </r>
    <r>
      <rPr>
        <sz val="8"/>
        <rFont val="Calibri"/>
        <family val="1"/>
      </rPr>
      <t>RS1 Train</t>
    </r>
  </si>
  <si>
    <r>
      <rPr>
        <sz val="8"/>
        <rFont val="Calibri"/>
        <family val="1"/>
      </rPr>
      <t>Train to Train coupling of RS1 Train</t>
    </r>
  </si>
  <si>
    <r>
      <rPr>
        <sz val="8"/>
        <rFont val="Calibri"/>
        <family val="1"/>
      </rPr>
      <t xml:space="preserve">Practical for Isolation of BIC &amp; other cut-out Cocks, Parking Brake
</t>
    </r>
    <r>
      <rPr>
        <sz val="8"/>
        <rFont val="Calibri"/>
        <family val="1"/>
      </rPr>
      <t>Isolation in RS1 Train</t>
    </r>
  </si>
  <si>
    <r>
      <rPr>
        <sz val="8"/>
        <rFont val="Calibri"/>
        <family val="1"/>
      </rPr>
      <t xml:space="preserve">Practical for  Emergency Door Deployment &amp; Restoration in RS1
</t>
    </r>
    <r>
      <rPr>
        <sz val="8"/>
        <rFont val="Calibri"/>
        <family val="1"/>
      </rPr>
      <t>Train</t>
    </r>
  </si>
  <si>
    <r>
      <rPr>
        <sz val="8"/>
        <rFont val="Calibri"/>
        <family val="1"/>
      </rPr>
      <t>Simulator</t>
    </r>
  </si>
  <si>
    <r>
      <rPr>
        <sz val="8"/>
        <rFont val="Calibri"/>
        <family val="1"/>
      </rPr>
      <t xml:space="preserve">RS1 Simulator for Train Activation/Deactivation and preparation , Selection of various modes(coupling, washing, high tractive effort
</t>
    </r>
    <r>
      <rPr>
        <sz val="8"/>
        <rFont val="Calibri"/>
        <family val="1"/>
      </rPr>
      <t>etc.)</t>
    </r>
  </si>
  <si>
    <r>
      <rPr>
        <sz val="8"/>
        <rFont val="Calibri"/>
        <family val="1"/>
      </rPr>
      <t>Simulator Faculty</t>
    </r>
  </si>
  <si>
    <r>
      <rPr>
        <sz val="8"/>
        <rFont val="Calibri"/>
        <family val="1"/>
      </rPr>
      <t xml:space="preserve">RS1 Simulator for Brake,Pneumatic System and Door system
</t>
    </r>
    <r>
      <rPr>
        <sz val="8"/>
        <rFont val="Calibri"/>
        <family val="1"/>
      </rPr>
      <t>faults</t>
    </r>
  </si>
  <si>
    <r>
      <rPr>
        <sz val="8"/>
        <rFont val="Calibri"/>
        <family val="1"/>
      </rPr>
      <t xml:space="preserve">RS1 Simulator for Power Supply System Faults &amp; Single/Double
</t>
    </r>
    <r>
      <rPr>
        <sz val="8"/>
        <rFont val="Calibri"/>
        <family val="1"/>
      </rPr>
      <t>Unit operation</t>
    </r>
  </si>
  <si>
    <r>
      <rPr>
        <sz val="8"/>
        <rFont val="Calibri"/>
        <family val="1"/>
      </rPr>
      <t>RS1 simulator for VCC Faults, PA/ PIS faults &amp; Aircon faults</t>
    </r>
  </si>
  <si>
    <r>
      <rPr>
        <sz val="8"/>
        <rFont val="Calibri"/>
        <family val="1"/>
      </rPr>
      <t>RS1 simulator for Rescue operation and Coupling Faults</t>
    </r>
  </si>
  <si>
    <r>
      <rPr>
        <sz val="8"/>
        <rFont val="Calibri"/>
        <family val="1"/>
      </rPr>
      <t>CBT</t>
    </r>
  </si>
  <si>
    <r>
      <rPr>
        <sz val="8"/>
        <rFont val="Calibri"/>
        <family val="1"/>
      </rPr>
      <t>Train Overview and Cab Equipment RS1 train</t>
    </r>
  </si>
  <si>
    <r>
      <rPr>
        <sz val="8"/>
        <rFont val="Calibri"/>
        <family val="1"/>
      </rPr>
      <t>TIMS and  of RS1 train</t>
    </r>
  </si>
  <si>
    <r>
      <rPr>
        <sz val="8"/>
        <rFont val="Calibri"/>
        <family val="1"/>
      </rPr>
      <t>Door System of RS1 train</t>
    </r>
  </si>
  <si>
    <r>
      <rPr>
        <sz val="8"/>
        <rFont val="Calibri"/>
        <family val="1"/>
      </rPr>
      <t>PA/ PIS System and Train Radio of RS1 train</t>
    </r>
  </si>
  <si>
    <r>
      <rPr>
        <sz val="8"/>
        <rFont val="Calibri"/>
        <family val="1"/>
      </rPr>
      <t>Overview of RS2 Train &amp; its sub systems</t>
    </r>
  </si>
  <si>
    <r>
      <rPr>
        <sz val="8"/>
        <rFont val="Calibri"/>
        <family val="1"/>
      </rPr>
      <t xml:space="preserve">All Internal &amp; External Equiments, Bogie, Primary Suspension &amp;
</t>
    </r>
    <r>
      <rPr>
        <sz val="8"/>
        <rFont val="Calibri"/>
        <family val="1"/>
      </rPr>
      <t>Couplers in RS2 Train</t>
    </r>
  </si>
  <si>
    <r>
      <rPr>
        <sz val="8"/>
        <rFont val="Calibri"/>
        <family val="1"/>
      </rPr>
      <t>Cab Equipments &amp; their functionality in RS2 Train.</t>
    </r>
  </si>
  <si>
    <r>
      <rPr>
        <sz val="8"/>
        <rFont val="Calibri"/>
        <family val="1"/>
      </rPr>
      <t>Sub System</t>
    </r>
  </si>
  <si>
    <r>
      <rPr>
        <sz val="8"/>
        <rFont val="Calibri"/>
        <family val="1"/>
      </rPr>
      <t>Train Control &amp; Management System in RS2 Train</t>
    </r>
  </si>
  <si>
    <r>
      <rPr>
        <sz val="8"/>
        <rFont val="Calibri"/>
        <family val="1"/>
      </rPr>
      <t>Current Collection System &amp; Propulsion System in RS2 Train</t>
    </r>
  </si>
  <si>
    <r>
      <rPr>
        <sz val="8"/>
        <rFont val="Calibri"/>
        <family val="1"/>
      </rPr>
      <t>Auxilliary &amp; Battery System and Training Lighting in RS2 Train</t>
    </r>
  </si>
  <si>
    <r>
      <rPr>
        <sz val="8"/>
        <rFont val="Calibri"/>
        <family val="1"/>
      </rPr>
      <t>Door System and Door Loop in RS2 Train</t>
    </r>
  </si>
  <si>
    <r>
      <rPr>
        <sz val="8"/>
        <rFont val="Calibri"/>
        <family val="1"/>
      </rPr>
      <t>HVAC System in RS2 Train</t>
    </r>
  </si>
  <si>
    <r>
      <rPr>
        <sz val="8"/>
        <rFont val="Calibri"/>
        <family val="1"/>
      </rPr>
      <t>PA-PIS &amp; CCTV System in RS2 Train</t>
    </r>
  </si>
  <si>
    <r>
      <rPr>
        <sz val="8"/>
        <rFont val="Calibri"/>
        <family val="1"/>
      </rPr>
      <t xml:space="preserve">Brake System and Emergency Brake Loop in RS2 Train including
</t>
    </r>
    <r>
      <rPr>
        <sz val="8"/>
        <rFont val="Calibri"/>
        <family val="1"/>
      </rPr>
      <t>Air Suplly System</t>
    </r>
  </si>
  <si>
    <r>
      <rPr>
        <sz val="8"/>
        <rFont val="Calibri"/>
        <family val="1"/>
      </rPr>
      <t>Train Control Concept in RS2 Train</t>
    </r>
  </si>
  <si>
    <r>
      <rPr>
        <sz val="8"/>
        <rFont val="Calibri"/>
        <family val="1"/>
      </rPr>
      <t>Driving Basic In RS2 Train (Ch. 1)</t>
    </r>
  </si>
  <si>
    <r>
      <rPr>
        <sz val="8"/>
        <rFont val="Calibri"/>
        <family val="1"/>
      </rPr>
      <t xml:space="preserve">RS2 Train preparation, System Status &amp; Fault Indicators and
</t>
    </r>
    <r>
      <rPr>
        <sz val="8"/>
        <rFont val="Calibri"/>
        <family val="1"/>
      </rPr>
      <t>stabling of train (Ins 24, Ch. 3&amp;4)</t>
    </r>
  </si>
  <si>
    <r>
      <rPr>
        <sz val="8"/>
        <rFont val="Calibri"/>
        <family val="1"/>
      </rPr>
      <t>Sh Amit Sharma</t>
    </r>
  </si>
  <si>
    <r>
      <rPr>
        <sz val="8"/>
        <rFont val="Calibri"/>
        <family val="1"/>
      </rPr>
      <t>Sh Sanjay</t>
    </r>
  </si>
  <si>
    <r>
      <rPr>
        <sz val="8"/>
        <rFont val="Calibri"/>
        <family val="1"/>
      </rPr>
      <t>RS2 Train Rescue Operation (Ch.7)</t>
    </r>
  </si>
  <si>
    <r>
      <rPr>
        <sz val="8"/>
        <rFont val="Calibri"/>
        <family val="1"/>
      </rPr>
      <t>Troubleshooting Concept</t>
    </r>
  </si>
  <si>
    <r>
      <rPr>
        <sz val="8"/>
        <rFont val="Calibri"/>
        <family val="1"/>
      </rPr>
      <t>RS2 Train Brake System Troubleshooting (Ch. 2)</t>
    </r>
  </si>
  <si>
    <r>
      <rPr>
        <sz val="8"/>
        <rFont val="Calibri"/>
        <family val="1"/>
      </rPr>
      <t>RS2 Train Power Supply System Failure Troubleshooting (Ch.3.1)</t>
    </r>
  </si>
  <si>
    <r>
      <rPr>
        <sz val="8"/>
        <rFont val="Calibri"/>
        <family val="1"/>
      </rPr>
      <t xml:space="preserve">RS2 Train Power Supply System Failure Troubleshooting (Ch.3.2-
</t>
    </r>
    <r>
      <rPr>
        <sz val="8"/>
        <rFont val="Calibri"/>
        <family val="1"/>
      </rPr>
      <t>3.5)</t>
    </r>
  </si>
  <si>
    <r>
      <rPr>
        <sz val="8"/>
        <rFont val="Calibri"/>
        <family val="1"/>
      </rPr>
      <t>RS2 Train Door System Failure Troubleshooting (Ch.4)</t>
    </r>
  </si>
  <si>
    <r>
      <rPr>
        <sz val="8"/>
        <rFont val="Calibri"/>
        <family val="1"/>
      </rPr>
      <t>RS2 Train Control Faults (Ch.5)</t>
    </r>
  </si>
  <si>
    <r>
      <rPr>
        <sz val="8"/>
        <rFont val="Calibri"/>
        <family val="1"/>
      </rPr>
      <t>RS2 Train TCMS Faults (Ch. 6)</t>
    </r>
  </si>
  <si>
    <r>
      <rPr>
        <sz val="8"/>
        <rFont val="Calibri"/>
        <family val="1"/>
      </rPr>
      <t xml:space="preserve">RS2 Train HVAC Faults, PIS /CCTV Faults and Coupling faults
</t>
    </r>
    <r>
      <rPr>
        <sz val="8"/>
        <rFont val="Calibri"/>
        <family val="1"/>
      </rPr>
      <t>(Ch.7,8 &amp;9)</t>
    </r>
  </si>
  <si>
    <r>
      <rPr>
        <sz val="8"/>
        <rFont val="Calibri"/>
        <family val="1"/>
      </rPr>
      <t xml:space="preserve">Procedure for 6car &amp; 8car RS2 train,Temporary Instructions and
</t>
    </r>
    <r>
      <rPr>
        <sz val="8"/>
        <rFont val="Calibri"/>
        <family val="1"/>
      </rPr>
      <t>correction slip</t>
    </r>
  </si>
  <si>
    <r>
      <rPr>
        <sz val="8"/>
        <rFont val="Calibri"/>
        <family val="1"/>
      </rPr>
      <t xml:space="preserve">Familarization of RS2 train ( Interior &amp; Exterior Equipments,
</t>
    </r>
    <r>
      <rPr>
        <sz val="8"/>
        <rFont val="Calibri"/>
        <family val="1"/>
      </rPr>
      <t>Different Panels in Saloon, Familarization of Door system, PIS/CCTV,of RS2 train.</t>
    </r>
  </si>
  <si>
    <r>
      <rPr>
        <sz val="8"/>
        <rFont val="Calibri"/>
        <family val="1"/>
      </rPr>
      <t>Familarization of Cab and TCMS of RS2 Train.</t>
    </r>
  </si>
  <si>
    <r>
      <rPr>
        <sz val="8"/>
        <rFont val="Calibri"/>
        <family val="1"/>
      </rPr>
      <t>Practical for Door Lockout,  Door Inhibit &amp; ERD operation of RS2 train</t>
    </r>
  </si>
  <si>
    <r>
      <rPr>
        <sz val="8"/>
        <rFont val="Calibri"/>
        <family val="1"/>
      </rPr>
      <t xml:space="preserve">Practical for Brake Panel Opening &amp; Restoring , Isolation of BIC,
</t>
    </r>
    <r>
      <rPr>
        <sz val="8"/>
        <rFont val="Calibri"/>
        <family val="1"/>
      </rPr>
      <t>other cut-out Cocks &amp; Parking Brake Isolation</t>
    </r>
  </si>
  <si>
    <r>
      <rPr>
        <sz val="8"/>
        <rFont val="Calibri"/>
        <family val="1"/>
      </rPr>
      <t>Detrainment Door Deployment &amp; Restoration of RS2 train</t>
    </r>
  </si>
  <si>
    <r>
      <rPr>
        <sz val="8"/>
        <rFont val="Calibri"/>
        <family val="1"/>
      </rPr>
      <t>Train to Train coupling</t>
    </r>
  </si>
  <si>
    <r>
      <rPr>
        <sz val="8"/>
        <rFont val="Calibri"/>
        <family val="1"/>
      </rPr>
      <t>RS2 Simulator for Train Activation/Deactivation and Preparation, Selection of various modes(coupling, washing &amp; high tractive .)</t>
    </r>
  </si>
  <si>
    <r>
      <rPr>
        <sz val="8"/>
        <rFont val="Calibri"/>
        <family val="1"/>
      </rPr>
      <t xml:space="preserve">RS2 Simulator for PECU Handling, Single/Double Unit operation &amp;
</t>
    </r>
    <r>
      <rPr>
        <sz val="8"/>
        <rFont val="Calibri"/>
        <family val="1"/>
      </rPr>
      <t>Traction Block Handling,</t>
    </r>
  </si>
  <si>
    <r>
      <rPr>
        <sz val="8"/>
        <rFont val="Calibri"/>
        <family val="1"/>
      </rPr>
      <t xml:space="preserve">RS2 Simulator for Brake,Pneumatic System and Door system
</t>
    </r>
    <r>
      <rPr>
        <sz val="8"/>
        <rFont val="Calibri"/>
        <family val="1"/>
      </rPr>
      <t>faults</t>
    </r>
  </si>
  <si>
    <r>
      <rPr>
        <sz val="8"/>
        <rFont val="Calibri"/>
        <family val="1"/>
      </rPr>
      <t>RS2 Simulator for Power Supply System Faults</t>
    </r>
  </si>
  <si>
    <r>
      <rPr>
        <sz val="8"/>
        <rFont val="Calibri"/>
        <family val="1"/>
      </rPr>
      <t xml:space="preserve">RS2 simulator for Train Control Faults, TCMS faults, PIS/CCTV
</t>
    </r>
    <r>
      <rPr>
        <sz val="8"/>
        <rFont val="Calibri"/>
        <family val="1"/>
      </rPr>
      <t>faults &amp; HVAC faults</t>
    </r>
  </si>
  <si>
    <r>
      <rPr>
        <sz val="8"/>
        <rFont val="Calibri"/>
        <family val="1"/>
      </rPr>
      <t>RS2 simulator for Rescue operation and Coupling Faults</t>
    </r>
  </si>
  <si>
    <r>
      <rPr>
        <sz val="8"/>
        <rFont val="Calibri"/>
        <family val="1"/>
      </rPr>
      <t>FE of RS2 train</t>
    </r>
  </si>
  <si>
    <r>
      <rPr>
        <sz val="8"/>
        <rFont val="Calibri"/>
        <family val="1"/>
      </rPr>
      <t>TCMS,and OB communication of RS2 train</t>
    </r>
  </si>
  <si>
    <r>
      <rPr>
        <sz val="8"/>
        <rFont val="Calibri"/>
        <family val="1"/>
      </rPr>
      <t>Door system, Brake system of RS2 train</t>
    </r>
  </si>
  <si>
    <r>
      <rPr>
        <sz val="8"/>
        <rFont val="Calibri"/>
        <family val="1"/>
      </rPr>
      <t>SOP Train Operation &amp; Practicals</t>
    </r>
  </si>
  <si>
    <r>
      <rPr>
        <sz val="8"/>
        <rFont val="Calibri"/>
        <family val="1"/>
      </rPr>
      <t>FAR/TR/Instructions  (3/1/2)</t>
    </r>
  </si>
  <si>
    <r>
      <rPr>
        <sz val="8"/>
        <rFont val="Arial MT"/>
        <family val="2"/>
      </rPr>
      <t>Sh R K Taneja</t>
    </r>
  </si>
  <si>
    <r>
      <rPr>
        <sz val="8"/>
        <rFont val="Calibri"/>
        <family val="1"/>
      </rPr>
      <t>RS1 Simulator for Communication &amp; Random Troubleshooting, Rescue Operation &amp; FAR /CBT for all RS Modules</t>
    </r>
  </si>
  <si>
    <r>
      <rPr>
        <sz val="8"/>
        <rFont val="Calibri"/>
        <family val="1"/>
      </rPr>
      <t>RS2 Simulator for Communication &amp; Random Troubleshooting, Rescue Operation &amp; FAR /CBT for all RS Modules</t>
    </r>
  </si>
  <si>
    <r>
      <rPr>
        <sz val="8"/>
        <rFont val="Calibri"/>
        <family val="1"/>
      </rPr>
      <t>SOP Train Operations (Ch-1,2,3,4,5)</t>
    </r>
  </si>
  <si>
    <r>
      <rPr>
        <sz val="8"/>
        <rFont val="Arial MT"/>
        <family val="2"/>
      </rPr>
      <t>Sh Surender</t>
    </r>
  </si>
  <si>
    <r>
      <rPr>
        <sz val="8"/>
        <rFont val="Arial MT"/>
        <family val="2"/>
      </rPr>
      <t>Sh Lokesh</t>
    </r>
  </si>
  <si>
    <r>
      <rPr>
        <sz val="8"/>
        <rFont val="Calibri"/>
        <family val="1"/>
      </rPr>
      <t>SOP Train Operations (Ch-6, 7,8,9) &amp; Addendums</t>
    </r>
  </si>
  <si>
    <r>
      <rPr>
        <sz val="8"/>
        <rFont val="Calibri"/>
        <family val="1"/>
      </rPr>
      <t>Train Operation in Degarded Modes (RM, ROS, Cut Out)</t>
    </r>
  </si>
  <si>
    <r>
      <rPr>
        <sz val="8"/>
        <rFont val="Calibri"/>
        <family val="1"/>
      </rPr>
      <t xml:space="preserve">Safety Circular No.
</t>
    </r>
    <r>
      <rPr>
        <sz val="8"/>
        <rFont val="Calibri"/>
        <family val="1"/>
      </rPr>
      <t>7 A/B/C and SC-25</t>
    </r>
  </si>
  <si>
    <r>
      <rPr>
        <sz val="8"/>
        <rFont val="Calibri"/>
        <family val="1"/>
      </rPr>
      <t xml:space="preserve">Role play on situations of
</t>
    </r>
    <r>
      <rPr>
        <sz val="8"/>
        <rFont val="Calibri"/>
        <family val="1"/>
      </rPr>
      <t>SC- 7 A/B/C and SC-25</t>
    </r>
  </si>
  <si>
    <r>
      <rPr>
        <sz val="8"/>
        <rFont val="Calibri"/>
        <family val="1"/>
      </rPr>
      <t>Case study 1-9  and new issue if any</t>
    </r>
  </si>
  <si>
    <r>
      <rPr>
        <sz val="8"/>
        <rFont val="Calibri"/>
        <family val="1"/>
      </rPr>
      <t xml:space="preserve">Role play on situations of
</t>
    </r>
    <r>
      <rPr>
        <sz val="8"/>
        <rFont val="Calibri"/>
        <family val="1"/>
      </rPr>
      <t>Case study 1-9</t>
    </r>
  </si>
  <si>
    <r>
      <rPr>
        <sz val="8"/>
        <rFont val="Calibri"/>
        <family val="1"/>
      </rPr>
      <t>Simulator including revision of Safety Circular 7 and related FARs (Train Operation in Non-ATP Modes)</t>
    </r>
  </si>
  <si>
    <r>
      <rPr>
        <sz val="8"/>
        <rFont val="Calibri"/>
        <family val="1"/>
      </rPr>
      <t>Train Operation in Degraded Modes Exam</t>
    </r>
  </si>
  <si>
    <r>
      <rPr>
        <sz val="8"/>
        <rFont val="Calibri"/>
        <family val="1"/>
      </rPr>
      <t>Feedback</t>
    </r>
  </si>
  <si>
    <r>
      <rPr>
        <sz val="8"/>
        <rFont val="Calibri"/>
        <family val="1"/>
      </rPr>
      <t>Feedback Session</t>
    </r>
  </si>
  <si>
    <r>
      <rPr>
        <sz val="8"/>
        <rFont val="Calibri"/>
        <family val="1"/>
      </rPr>
      <t>Introduction to  signalling, its equipments &amp; marker boards</t>
    </r>
  </si>
  <si>
    <r>
      <rPr>
        <sz val="8"/>
        <rFont val="Calibri"/>
        <family val="1"/>
      </rPr>
      <t>Role of signlling in railway operation, Familiarization with various signalling equipments i.e. signals, point, point machine, track circuit, Authorization Push Button in Depot, ESP, Types of signals and their meanings of aspects Functions of each signalling equipment.Familarisation with different marker board and their use.</t>
    </r>
  </si>
  <si>
    <r>
      <rPr>
        <sz val="7.5"/>
        <rFont val="Verdana"/>
        <family val="2"/>
      </rPr>
      <t>Signalling Faculty</t>
    </r>
  </si>
  <si>
    <r>
      <rPr>
        <sz val="8"/>
        <rFont val="Calibri"/>
        <family val="1"/>
      </rPr>
      <t>Interlocking</t>
    </r>
  </si>
  <si>
    <r>
      <rPr>
        <sz val="8"/>
        <rFont val="Calibri"/>
        <family val="1"/>
      </rPr>
      <t>Define route, TORR, normal direction route, reverse direction route, opposite route, conflicting route, , birth circuit, first TC, last TC, fouling point, clearance point, approach section, isolation, approach locking, interlocking</t>
    </r>
  </si>
  <si>
    <r>
      <rPr>
        <sz val="8"/>
        <rFont val="Calibri"/>
        <family val="1"/>
      </rPr>
      <t xml:space="preserve">Familiarization with signalling equipments and marker board
</t>
    </r>
    <r>
      <rPr>
        <sz val="8"/>
        <rFont val="Calibri"/>
        <family val="1"/>
      </rPr>
      <t>(Practical)+CBT</t>
    </r>
  </si>
  <si>
    <r>
      <rPr>
        <sz val="8"/>
        <rFont val="Calibri"/>
        <family val="1"/>
      </rPr>
      <t>Practical familiarization with various signalling equipments i.e. signals, point, point machine, track circuit</t>
    </r>
  </si>
  <si>
    <r>
      <rPr>
        <sz val="8"/>
        <rFont val="Calibri"/>
        <family val="1"/>
      </rPr>
      <t>Introduction to ATC and ATP Hardware Familarisation</t>
    </r>
  </si>
  <si>
    <r>
      <rPr>
        <sz val="8"/>
        <rFont val="Calibri"/>
        <family val="1"/>
      </rPr>
      <t xml:space="preserve">Define train control, Difference between Manual train control system and ATC system.  Define subsystem of ATC (ATP &amp; ATO). Explain working principal of ATP i.e. distance to go.Define terms related to ATC system.Explain overall signalling and train control working with the help of block diagram.  Familiarization and functional details of  various track side equipments of ATP i.e. beacons -RB,MTIB,STIB &amp; DLR, Track side ATP cubicles.
</t>
    </r>
    <r>
      <rPr>
        <sz val="8"/>
        <rFont val="Calibri"/>
        <family val="1"/>
      </rPr>
      <t>Familiarization and functional details of  various train borne equipments i.e. pickup coil, DMI,Odo meter, manual redundancy selector switch, SCS counter, SCS switch, ATP MCBs &amp; ATP train borne Cubicle.</t>
    </r>
  </si>
  <si>
    <r>
      <rPr>
        <sz val="8"/>
        <rFont val="Calibri"/>
        <family val="1"/>
      </rPr>
      <t>DMI Familiarization</t>
    </r>
  </si>
  <si>
    <r>
      <rPr>
        <sz val="8"/>
        <rFont val="Calibri"/>
        <family val="1"/>
      </rPr>
      <t>Requirement of DMI, Introduction to various areas on DMI, Familarisation with various keys available on DMI &amp; their function, Explain various indications that appears on DMI and their meaning</t>
    </r>
  </si>
  <si>
    <r>
      <rPr>
        <sz val="8"/>
        <rFont val="Calibri"/>
        <family val="1"/>
      </rPr>
      <t>Driving mode selection &amp; Safety features of ATC</t>
    </r>
  </si>
  <si>
    <r>
      <rPr>
        <sz val="8"/>
        <rFont val="Calibri"/>
        <family val="1"/>
      </rPr>
      <t>Explain all the driving modes, their selection procedure  &amp; Related indications on DMI.  Explain various safety features provided by ATC system i.e. Speed monitoring, rollback monitoring, reverse monitoring, door authorisation,Speed Restriction and  passenger safety: ESP activation,</t>
    </r>
  </si>
  <si>
    <r>
      <rPr>
        <sz val="8"/>
        <rFont val="Calibri"/>
        <family val="1"/>
      </rPr>
      <t xml:space="preserve">Compare all the driving modes on the basis of safety features
</t>
    </r>
    <r>
      <rPr>
        <sz val="8"/>
        <rFont val="Calibri"/>
        <family val="1"/>
      </rPr>
      <t>provided by ATC system</t>
    </r>
  </si>
  <si>
    <r>
      <rPr>
        <sz val="8"/>
        <rFont val="Calibri"/>
        <family val="1"/>
      </rPr>
      <t xml:space="preserve">Define degraded modes of train operation i.e. ROS, RM &amp; Cut out
</t>
    </r>
    <r>
      <rPr>
        <sz val="8"/>
        <rFont val="Calibri"/>
        <family val="1"/>
      </rPr>
      <t>and explain where these modes are used.</t>
    </r>
  </si>
  <si>
    <r>
      <rPr>
        <sz val="8"/>
        <rFont val="Calibri"/>
        <family val="1"/>
      </rPr>
      <t xml:space="preserve">Define private number, Explain precautions to be taken by TO in
</t>
    </r>
    <r>
      <rPr>
        <sz val="8"/>
        <rFont val="Calibri"/>
        <family val="1"/>
      </rPr>
      <t>degraded mode</t>
    </r>
  </si>
  <si>
    <r>
      <rPr>
        <sz val="8"/>
        <rFont val="Calibri"/>
        <family val="1"/>
      </rPr>
      <t>Introduction to ATO  &amp; train operation in ATO mode</t>
    </r>
  </si>
  <si>
    <r>
      <rPr>
        <sz val="8"/>
        <rFont val="Calibri"/>
        <family val="1"/>
      </rPr>
      <t xml:space="preserve">Familiarization with ATO &amp; its features. Explain hardware used in ATO from operation point of view i.e. ATO position of mode selector and use of start button. Explain Circular related to ATO
</t>
    </r>
    <r>
      <rPr>
        <sz val="8"/>
        <rFont val="Calibri"/>
        <family val="1"/>
      </rPr>
      <t>mode.</t>
    </r>
  </si>
  <si>
    <r>
      <rPr>
        <sz val="7.5"/>
        <rFont val="Verdana"/>
        <family val="2"/>
      </rPr>
      <t>Sh R K Taneja</t>
    </r>
  </si>
  <si>
    <r>
      <rPr>
        <sz val="8"/>
        <rFont val="Calibri"/>
        <family val="1"/>
      </rPr>
      <t>Train Operation in mainline &amp; Depot &amp;DMI familiarization</t>
    </r>
  </si>
  <si>
    <r>
      <rPr>
        <sz val="8"/>
        <rFont val="Calibri"/>
        <family val="1"/>
      </rPr>
      <t xml:space="preserve">Explain various start-Up indication i.e. During startup &amp; After successful startup, Define- initialization, localization, Delocalization and Explain Stationary &amp; Moving  Train
</t>
    </r>
    <r>
      <rPr>
        <sz val="8"/>
        <rFont val="Calibri"/>
        <family val="1"/>
      </rPr>
      <t>Initialization and their related indications.</t>
    </r>
  </si>
  <si>
    <r>
      <rPr>
        <sz val="7.5"/>
        <rFont val="Verdana"/>
        <family val="2"/>
      </rPr>
      <t>Sh K R Ranjan</t>
    </r>
  </si>
  <si>
    <r>
      <rPr>
        <sz val="8"/>
        <rFont val="Calibri"/>
        <family val="1"/>
      </rPr>
      <t xml:space="preserve">Indications on DMI during over speed, station stopping, ESP activation, turn back on main line and various indications related to train regulation i.e. Skip station, Keep door close and Train
</t>
    </r>
    <r>
      <rPr>
        <sz val="8"/>
        <rFont val="Calibri"/>
        <family val="1"/>
      </rPr>
      <t>Hold.</t>
    </r>
  </si>
  <si>
    <r>
      <rPr>
        <sz val="8"/>
        <rFont val="Calibri"/>
        <family val="1"/>
      </rPr>
      <t>Indications on DMI during Depot exit &amp; Depot Entry</t>
    </r>
  </si>
  <si>
    <r>
      <rPr>
        <sz val="8"/>
        <rFont val="Calibri"/>
        <family val="1"/>
      </rPr>
      <t>ATP Troubleshooting</t>
    </r>
  </si>
  <si>
    <r>
      <rPr>
        <sz val="8"/>
        <rFont val="Calibri"/>
        <family val="1"/>
      </rPr>
      <t>Explain various ATP failure &amp; their troubleshooting steps defined in ATP troubleshooting chapter 8.0 (ii) of Train Operator's Handbook on troubleshooting. Explain Chapter 8.0 (i) of Train Operator's Handbook on troubleshooting</t>
    </r>
  </si>
  <si>
    <r>
      <rPr>
        <sz val="7.5"/>
        <rFont val="Verdana"/>
        <family val="2"/>
      </rPr>
      <t>Sh Lokesh</t>
    </r>
  </si>
  <si>
    <r>
      <rPr>
        <sz val="8"/>
        <rFont val="Calibri"/>
        <family val="1"/>
      </rPr>
      <t xml:space="preserve">Define steps for switching off ATP MCB &amp; steps for resetting ATP
</t>
    </r>
    <r>
      <rPr>
        <sz val="8"/>
        <rFont val="Calibri"/>
        <family val="1"/>
      </rPr>
      <t>MCB</t>
    </r>
  </si>
  <si>
    <r>
      <rPr>
        <sz val="8"/>
        <rFont val="Calibri"/>
        <family val="1"/>
      </rPr>
      <t xml:space="preserve">ATP Hardware Familasrisation, DMI indication familiarization and Driving Mode Selection (Practical)
</t>
    </r>
    <r>
      <rPr>
        <sz val="8"/>
        <rFont val="Calibri"/>
        <family val="1"/>
      </rPr>
      <t>+CBT</t>
    </r>
  </si>
  <si>
    <r>
      <rPr>
        <sz val="8"/>
        <rFont val="Calibri"/>
        <family val="1"/>
      </rPr>
      <t>Familiarization various track side equipments of ATP i.e. beacons - RB,MTIB,STIB &amp; DLR, Track side ATP cubicles. Familiarization various train borne  equipments i.e. pickup coil, DMI,Odo meter, manual redundancy selector switch, SCS counter, SCS switch, ATP MCBs &amp; ATP trainborne Cubicle.</t>
    </r>
  </si>
  <si>
    <r>
      <rPr>
        <sz val="8"/>
        <rFont val="Calibri"/>
        <family val="1"/>
      </rPr>
      <t xml:space="preserve">Show driving mode selection in train &amp; their related indications
</t>
    </r>
    <r>
      <rPr>
        <sz val="8"/>
        <rFont val="Calibri"/>
        <family val="1"/>
      </rPr>
      <t>on DMI</t>
    </r>
  </si>
  <si>
    <r>
      <rPr>
        <sz val="8"/>
        <rFont val="Calibri"/>
        <family val="1"/>
      </rPr>
      <t>Show train initialisation indication on train, explain door opening procedure in standby mode and show ATP MCB resetting steps</t>
    </r>
  </si>
  <si>
    <r>
      <rPr>
        <sz val="8"/>
        <rFont val="Calibri"/>
        <family val="1"/>
      </rPr>
      <t xml:space="preserve">ATP Hardware Familarisation &amp;
</t>
    </r>
    <r>
      <rPr>
        <sz val="8"/>
        <rFont val="Calibri"/>
        <family val="1"/>
      </rPr>
      <t>HMI Familarisation</t>
    </r>
  </si>
  <si>
    <r>
      <rPr>
        <sz val="8"/>
        <rFont val="Calibri"/>
        <family val="1"/>
      </rPr>
      <t xml:space="preserve">Familiarization and functional details of  various trackside
</t>
    </r>
    <r>
      <rPr>
        <sz val="8"/>
        <rFont val="Calibri"/>
        <family val="1"/>
      </rPr>
      <t>equipments of ATP i.e. Loops &amp; trackside ATP cubicle.</t>
    </r>
  </si>
  <si>
    <r>
      <rPr>
        <sz val="7.5"/>
        <rFont val="Verdana"/>
        <family val="2"/>
      </rPr>
      <t>Sh S K Pandey</t>
    </r>
  </si>
  <si>
    <r>
      <rPr>
        <sz val="7.5"/>
        <rFont val="Verdana"/>
        <family val="2"/>
      </rPr>
      <t>Sh Ashwani Gupta</t>
    </r>
  </si>
  <si>
    <r>
      <rPr>
        <sz val="8"/>
        <rFont val="Calibri"/>
        <family val="1"/>
      </rPr>
      <t xml:space="preserve">Explain all driving modes ,their selection procedure &amp; related
</t>
    </r>
    <r>
      <rPr>
        <sz val="8"/>
        <rFont val="Calibri"/>
        <family val="1"/>
      </rPr>
      <t>indications on HMI.</t>
    </r>
  </si>
  <si>
    <r>
      <rPr>
        <sz val="8"/>
        <rFont val="Calibri"/>
        <family val="1"/>
      </rPr>
      <t>Signalling Faculty</t>
    </r>
  </si>
  <si>
    <r>
      <rPr>
        <sz val="8"/>
        <rFont val="Calibri"/>
        <family val="1"/>
      </rPr>
      <t>Define degraded modes of train operation i.e. ROS, RM &amp; Cut out and explain where these modes are used. Define private number, Explain precautions to be taken by TO in degraded mode</t>
    </r>
  </si>
  <si>
    <r>
      <rPr>
        <sz val="8"/>
        <rFont val="Calibri"/>
        <family val="1"/>
      </rPr>
      <t>Train Operation In main Line and Depot</t>
    </r>
  </si>
  <si>
    <r>
      <rPr>
        <sz val="8"/>
        <rFont val="Calibri"/>
        <family val="1"/>
      </rPr>
      <t xml:space="preserve">Explain indications that appear on HMI at the time of startup &amp;
</t>
    </r>
    <r>
      <rPr>
        <sz val="8"/>
        <rFont val="Calibri"/>
        <family val="1"/>
      </rPr>
      <t>shutdown</t>
    </r>
  </si>
  <si>
    <r>
      <rPr>
        <sz val="8"/>
        <rFont val="Calibri"/>
        <family val="1"/>
      </rPr>
      <t xml:space="preserve">Explain all the indications that can come on HMI during Over speed, Station stopping, EB applications, depot entry &amp; Depot
</t>
    </r>
    <r>
      <rPr>
        <sz val="8"/>
        <rFont val="Calibri"/>
        <family val="1"/>
      </rPr>
      <t>exit.</t>
    </r>
  </si>
  <si>
    <r>
      <rPr>
        <sz val="8"/>
        <rFont val="Calibri"/>
        <family val="1"/>
      </rPr>
      <t>Explain various failure &amp; their troubleshooting steps defined in ATP troubleshooting chapter 8.0 (iii). Define steps for Switching of MS to OFF &amp; then to ATP and steps for resetting ATP MCBs</t>
    </r>
  </si>
  <si>
    <r>
      <rPr>
        <sz val="8"/>
        <rFont val="Calibri"/>
        <family val="1"/>
      </rPr>
      <t>ATP trackside  equipments, trainborne equipments  Practical at YBD/NFD)</t>
    </r>
  </si>
  <si>
    <r>
      <rPr>
        <sz val="8"/>
        <rFont val="Calibri"/>
        <family val="1"/>
      </rPr>
      <t>Familiarization with  various trackside equipments of ATP i.e. Loops &amp; trackside ATP cubicle. Familiarization with  various train borne equipments of ATP i.e. HMI, Antennas, Odometer, ATP MCBs, Redundancy Selector Switch, ROS button, SCS Switch, SCS Counter &amp; train borne ATP cubicle.</t>
    </r>
  </si>
  <si>
    <r>
      <rPr>
        <sz val="8"/>
        <rFont val="Calibri"/>
        <family val="1"/>
      </rPr>
      <t>HMI indication familiarization including initialisation indication and driving mode selection Practical at YBD/NFD)</t>
    </r>
  </si>
  <si>
    <r>
      <rPr>
        <sz val="8"/>
        <rFont val="Calibri"/>
        <family val="1"/>
      </rPr>
      <t>Explain HMI indications and driving mode selection steps</t>
    </r>
  </si>
  <si>
    <r>
      <rPr>
        <sz val="8"/>
        <rFont val="Calibri"/>
        <family val="1"/>
      </rPr>
      <t xml:space="preserve">Introduce various failures related ATP on simulator &amp; Explain their troubleshooting steps including steps for switching off MS
</t>
    </r>
    <r>
      <rPr>
        <sz val="8"/>
        <rFont val="Calibri"/>
        <family val="1"/>
      </rPr>
      <t>and steps for resetting ATP MCB.</t>
    </r>
  </si>
  <si>
    <r>
      <rPr>
        <sz val="8"/>
        <rFont val="Calibri"/>
        <family val="1"/>
      </rPr>
      <t>Feedback by batch coordinator.</t>
    </r>
  </si>
  <si>
    <t>SC-8 A, SC-27 A&amp;B, SC-35, 35A</t>
  </si>
  <si>
    <t>DMRC Contigency Plan (Fire) Reference : Revised Hand book for dealing with Serious Incidents/Accidents/Disasters</t>
  </si>
  <si>
    <r>
      <rPr>
        <sz val="11"/>
        <color theme="1"/>
        <rFont val="Aptos Narrow"/>
        <family val="1"/>
        <scheme val="minor"/>
      </rPr>
      <t>Telecom Faculty / DMRA</t>
    </r>
  </si>
  <si>
    <t>Give No. of days per week</t>
  </si>
  <si>
    <t xml:space="preserve"> </t>
  </si>
  <si>
    <t>Handportable Theory</t>
  </si>
  <si>
    <t>TEACHER NAME</t>
  </si>
  <si>
    <t>Handportable Theory &amp; Train Radio Theory</t>
  </si>
  <si>
    <t>Handportable Practical &amp; Train Radio Practical</t>
  </si>
  <si>
    <t>Emg. Comm.</t>
  </si>
  <si>
    <t>Communication practice by Handportable/Train radio</t>
  </si>
  <si>
    <t>Feed Back</t>
  </si>
  <si>
    <t>SC-7 (A/B/C), SC-25</t>
  </si>
  <si>
    <t>SNO.</t>
  </si>
  <si>
    <t>TOPIC LIST</t>
  </si>
  <si>
    <t>STAFF CODE</t>
  </si>
  <si>
    <t>Doc No: QFF/DMRA/MR/021</t>
  </si>
  <si>
    <r>
      <t xml:space="preserve">DELHI METRO RAIL ACADEMY
</t>
    </r>
    <r>
      <rPr>
        <sz val="14"/>
        <rFont val="Century Gothic"/>
        <family val="2"/>
      </rPr>
      <t>METRO TRAIN DEPOT, SHASTRI PARK, DELHI-53</t>
    </r>
  </si>
  <si>
    <t>Date:14.03.2017</t>
  </si>
  <si>
    <t>QUALITY FORMS &amp; FORMATS</t>
  </si>
  <si>
    <t>Rev:03</t>
  </si>
  <si>
    <t xml:space="preserve">  WEEKLY TRAINING PROGRAM</t>
  </si>
  <si>
    <t>Date:10.12.2019</t>
  </si>
  <si>
    <t xml:space="preserve">                                      ISO 9001: 2015 Certified         </t>
  </si>
  <si>
    <t>Date:</t>
  </si>
  <si>
    <t xml:space="preserve">Batch : </t>
  </si>
  <si>
    <t xml:space="preserve">    Batch Coordinator: </t>
  </si>
  <si>
    <t>Module:</t>
  </si>
  <si>
    <t>Week:</t>
  </si>
  <si>
    <t>Date</t>
  </si>
  <si>
    <t>Day</t>
  </si>
  <si>
    <t>09:15-10:15</t>
  </si>
  <si>
    <t>10:30-11:30</t>
  </si>
  <si>
    <t>11:30-12:30</t>
  </si>
  <si>
    <t>13:30-14:30</t>
  </si>
  <si>
    <t>14:45-15:45</t>
  </si>
  <si>
    <t>15:45-16:45</t>
  </si>
  <si>
    <t>16:45-17:30</t>
  </si>
  <si>
    <t>Others</t>
  </si>
  <si>
    <t>0905-0915-Assembly</t>
  </si>
  <si>
    <t>1015-1030-Tea Break</t>
  </si>
  <si>
    <t>1230-1330-Lunch Break</t>
  </si>
  <si>
    <t>1430-1445-Tea Break</t>
  </si>
  <si>
    <t>Sessions and break timings subject to change</t>
  </si>
  <si>
    <t>Prepared by:Lecturer-</t>
  </si>
  <si>
    <t>Checked by:Asst/Associate Professor-</t>
  </si>
  <si>
    <t>Approved by:Professor-</t>
  </si>
  <si>
    <t>Note:</t>
  </si>
  <si>
    <t>A.Please bring soft/hard copy of the lecture and handover to Batch Co-od.</t>
  </si>
  <si>
    <t>B.Kindly sign the training register after delivering the lecture</t>
  </si>
  <si>
    <t>C. Expected no. of trainees are ………..</t>
  </si>
  <si>
    <t>C/-</t>
  </si>
  <si>
    <t>Dean : for kind information please.</t>
  </si>
  <si>
    <t>All concerned.</t>
  </si>
  <si>
    <t xml:space="preserve">ISO 9001: 2015 Certified         </t>
  </si>
  <si>
    <t>WEEKLY TRAINING PROGRAM</t>
  </si>
  <si>
    <t>Global:</t>
  </si>
  <si>
    <t>Count:</t>
  </si>
  <si>
    <t>SELECT THIS WEEK TOPICS</t>
  </si>
  <si>
    <t>Click To See/Edit The Module</t>
  </si>
  <si>
    <t>Click To Upload Module</t>
  </si>
  <si>
    <t>Click To Fetch Initial Topic (Optional)</t>
  </si>
  <si>
    <t>Click To Go For Teacher Selection</t>
  </si>
  <si>
    <t>Click To Refresh Topic List</t>
  </si>
  <si>
    <t xml:space="preserve">                         ISO 9001: 2015 Certified         </t>
  </si>
  <si>
    <t xml:space="preserve">Count: </t>
  </si>
  <si>
    <t>I</t>
  </si>
  <si>
    <t>II</t>
  </si>
  <si>
    <t>III</t>
  </si>
  <si>
    <t>IV</t>
  </si>
  <si>
    <t>V</t>
  </si>
  <si>
    <t>VI</t>
  </si>
  <si>
    <t>VII</t>
  </si>
  <si>
    <t>VIII</t>
  </si>
  <si>
    <t>8:30-9:30</t>
  </si>
  <si>
    <t>9:30-10:30</t>
  </si>
  <si>
    <t>14:30-15:30</t>
  </si>
  <si>
    <t>15:30-16:30</t>
  </si>
  <si>
    <t>16:30-17:30</t>
  </si>
  <si>
    <t>YOGA AND FEEDBACK</t>
  </si>
  <si>
    <t xml:space="preserve">I </t>
  </si>
  <si>
    <t>Yoga and Feedback</t>
  </si>
  <si>
    <r>
      <rPr>
        <sz val="8"/>
        <rFont val="Calibri"/>
        <family val="1"/>
      </rPr>
      <t>Route Learning</t>
    </r>
  </si>
  <si>
    <r>
      <rPr>
        <sz val="8"/>
        <rFont val="Calibri"/>
        <family val="1"/>
      </rPr>
      <t>Test Track Driving</t>
    </r>
  </si>
  <si>
    <r>
      <rPr>
        <sz val="8"/>
        <rFont val="Calibri"/>
        <family val="1"/>
      </rPr>
      <t>Simulator Driving</t>
    </r>
  </si>
  <si>
    <t>Starting Date of Training(MM/DD/YY)</t>
  </si>
  <si>
    <t>T4</t>
  </si>
  <si>
    <t>08:30-09:30</t>
  </si>
  <si>
    <t>09:30-10:30</t>
  </si>
  <si>
    <t>Mark These Topic As Complete</t>
  </si>
  <si>
    <t>Overview of E&amp;M system (ASS, DG sets &amp; UPS) &amp; Details of BMS, ECS, TVS  equipments and their uses. Restoration of Station power supply during Break down of supplies from ASS.</t>
  </si>
  <si>
    <t>Different equipment in OCC. Liaison and role of different
department in OCC.</t>
  </si>
  <si>
    <t>Scope &amp; Role of First Aid</t>
  </si>
  <si>
    <t>Structure &amp; Function of human body</t>
  </si>
  <si>
    <t>Dressing &amp; Bandages, First Aid Box &amp; its contents</t>
  </si>
  <si>
    <t>Circulation of blood, bleeding wound and Hameorages</t>
  </si>
  <si>
    <t>E&amp;M Wing</t>
  </si>
  <si>
    <t>OCC</t>
  </si>
  <si>
    <t>First Aid Faculty</t>
  </si>
  <si>
    <t>Feedback session</t>
  </si>
  <si>
    <t>Overview of RS1 Train &amp; its sub systems</t>
  </si>
  <si>
    <t>All Internal &amp; External Equiments, Bogie, Primary Suspension &amp;
Couplers in RS1 Train</t>
  </si>
  <si>
    <t>Cab Equipments &amp; their functionality in RS1 Train.</t>
  </si>
  <si>
    <t>Train Integrated Management System in RS1 Train</t>
  </si>
  <si>
    <t>Current Collection System &amp; Propulsion System in RS1 Train</t>
  </si>
  <si>
    <t>Auxilliary &amp; Battery System and Training Lighting in RS1 train</t>
  </si>
  <si>
    <t>Door System and Door loop in RS1 Train</t>
  </si>
  <si>
    <t>Aircon System in RS1 Train</t>
  </si>
  <si>
    <t>PA/PIS  System in RS1 Train</t>
  </si>
  <si>
    <t>Brake System in RS1 Train (including Airsupply System)</t>
  </si>
  <si>
    <t>Schematic view of Cab Control, Motoring &amp; Braking in RS 1 Train, Brake loop and Emergency Brake loop in RS1 Train</t>
  </si>
  <si>
    <t>Driving Basic in RS1 Train (Ch.1)</t>
  </si>
  <si>
    <t>RS1 Train preparation, System Status &amp; Fault Indicators and
stabling of train (Ins 24, Ch 3&amp;4)</t>
  </si>
  <si>
    <t>RS1 Rescue Operation (Ch. 7)</t>
  </si>
  <si>
    <t>RS1 Troubleshooting Concept (Ch.1) &amp; RS13 Features</t>
  </si>
  <si>
    <t>RS1 Brake System Failure Troubleshooting (Ch. 2)</t>
  </si>
  <si>
    <t>RS1 Power Supply System Failure Troubleshooting (Ch. 3.1-3.2)</t>
  </si>
  <si>
    <t>RS1 Power Supply System Failure Troubleshooting (Ch. 3.3-3.5)</t>
  </si>
  <si>
    <t>RS1 Door System Failure Troubleshooting (Ch.4)</t>
  </si>
  <si>
    <t>RS1 VCC Faults Troubleshooting (Ch.5)</t>
  </si>
  <si>
    <t>RS1 TIMS, Aircon &amp; PA/ PIS faults troubleshooting (Ch.6,7&amp;8)</t>
  </si>
  <si>
    <t>RS1 Train Procedure for 6car &amp; 8car (OTM Part A Ch.5(5.4),
Temporary Instructions and correction slip</t>
  </si>
  <si>
    <t>Familarization of RS1 train ( Interior &amp; Exterior Equipments, Different Panels in Saloon, Familarization of Door system,  PA/ PIS system of RS1 train in Depot</t>
  </si>
  <si>
    <t>Familarization of Cab and TIMS of RS1 Train</t>
  </si>
  <si>
    <t>Faculty 4</t>
  </si>
  <si>
    <t>Telecom Faculty / DMRA</t>
  </si>
  <si>
    <t>Sh Lokesh Kumar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</si>
</sst>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m/d/yy;@"/>
  </numFmts>
  <fonts count="37">
    <font>
      <sz val="11"/>
      <color theme="1"/>
      <name val="Aptos Narrow"/>
      <family val="2"/>
      <scheme val="minor"/>
    </font>
    <font>
      <sz val="8"/>
      <name val="Aptos Narrow"/>
      <family val="2"/>
      <scheme val="minor"/>
    </font>
    <font>
      <sz val="8"/>
      <color rgb="FF000000"/>
      <name val="Segoe UI"/>
      <family val="2"/>
    </font>
    <font>
      <sz val="11"/>
      <color theme="1"/>
      <name val="Aptos Narrow"/>
      <family val="2"/>
      <scheme val="minor"/>
    </font>
    <font>
      <sz val="11"/>
      <color theme="0" tint="-0.249977111117893"/>
      <name val="Aptos Narrow"/>
      <family val="2"/>
      <scheme val="minor"/>
    </font>
    <font>
      <b/>
      <sz val="7.5"/>
      <name val="Calibri"/>
      <family val="2"/>
    </font>
    <font>
      <b/>
      <sz val="7.5"/>
      <name val="Calibri"/>
      <family val="1"/>
    </font>
    <font>
      <b/>
      <sz val="8"/>
      <name val="Calibri"/>
      <family val="2"/>
    </font>
    <font>
      <b/>
      <sz val="8"/>
      <name val="Calibri"/>
      <family val="1"/>
    </font>
    <font>
      <sz val="8"/>
      <name val="Calibri"/>
      <family val="2"/>
    </font>
    <font>
      <sz val="8"/>
      <name val="Calibri"/>
      <family val="1"/>
    </font>
    <font>
      <sz val="8"/>
      <color rgb="FF000000"/>
      <name val="Calibri"/>
      <family val="2"/>
    </font>
    <font>
      <u/>
      <sz val="8"/>
      <name val="Calibri"/>
      <family val="1"/>
    </font>
    <font>
      <sz val="8"/>
      <color rgb="FF000000"/>
      <name val="Arial MT"/>
      <family val="2"/>
    </font>
    <font>
      <sz val="8"/>
      <name val="Arial MT"/>
    </font>
    <font>
      <sz val="8"/>
      <name val="Arial MT"/>
      <family val="2"/>
    </font>
    <font>
      <sz val="7.5"/>
      <name val="Verdana"/>
      <family val="2"/>
    </font>
    <font>
      <sz val="11"/>
      <color theme="1"/>
      <name val="Aptos Narrow"/>
      <family val="1"/>
      <scheme val="minor"/>
    </font>
    <font>
      <sz val="11"/>
      <color theme="6" tint="0.59999389629810485"/>
      <name val="Aptos Narrow"/>
      <family val="2"/>
      <scheme val="minor"/>
    </font>
    <font>
      <sz val="11"/>
      <color theme="9" tint="0.39997558519241921"/>
      <name val="Aptos Narrow"/>
      <family val="2"/>
      <scheme val="minor"/>
    </font>
    <font>
      <sz val="14"/>
      <name val="Century Gothic"/>
      <family val="2"/>
    </font>
    <font>
      <b/>
      <sz val="20"/>
      <name val="Century Gothic"/>
      <family val="2"/>
    </font>
    <font>
      <b/>
      <sz val="18"/>
      <name val="Century Gothic"/>
      <family val="2"/>
    </font>
    <font>
      <b/>
      <sz val="16"/>
      <name val="Century Gothic"/>
      <family val="2"/>
    </font>
    <font>
      <b/>
      <sz val="12"/>
      <name val="Century Gothic"/>
      <family val="2"/>
    </font>
    <font>
      <b/>
      <sz val="14"/>
      <name val="Century Gothic"/>
      <family val="2"/>
    </font>
    <font>
      <b/>
      <sz val="12"/>
      <color theme="1"/>
      <name val="Century Gothic"/>
      <family val="2"/>
    </font>
    <font>
      <sz val="12"/>
      <name val="Century Gothic"/>
      <family val="2"/>
    </font>
    <font>
      <sz val="11"/>
      <color theme="9" tint="0.79998168889431442"/>
      <name val="Aptos Narrow"/>
      <family val="2"/>
      <scheme val="minor"/>
    </font>
    <font>
      <sz val="11"/>
      <name val="Aptos Narrow"/>
      <family val="2"/>
      <scheme val="minor"/>
    </font>
    <font>
      <b/>
      <sz val="11"/>
      <color theme="1"/>
      <name val="Aptos Narrow"/>
      <family val="2"/>
      <scheme val="minor"/>
    </font>
    <font>
      <sz val="11"/>
      <color theme="0"/>
      <name val="Aptos Narrow"/>
      <family val="2"/>
      <scheme val="minor"/>
    </font>
    <font>
      <b/>
      <u/>
      <sz val="14"/>
      <color rgb="FF000000"/>
      <name val="Aptos Narrow"/>
      <family val="2"/>
    </font>
    <font>
      <b/>
      <u/>
      <sz val="12"/>
      <color rgb="FF000000"/>
      <name val="Aptos Narrow"/>
      <family val="2"/>
    </font>
    <font>
      <b/>
      <u/>
      <sz val="11"/>
      <color rgb="FF000000"/>
      <name val="Aptos Narrow"/>
      <family val="2"/>
    </font>
    <font>
      <b/>
      <u/>
      <vertAlign val="superscript"/>
      <sz val="16"/>
      <color rgb="FF000000"/>
      <name val="Aptos Narrow"/>
      <family val="2"/>
    </font>
    <font>
      <sz val="8"/>
      <color rgb="FF000000"/>
      <name val="Tahoma"/>
      <family val="2"/>
    </font>
  </fonts>
  <fills count="6">
    <fill>
      <patternFill patternType="none"/>
    </fill>
    <fill>
      <patternFill patternType="gray125"/>
    </fill>
    <fill>
      <patternFill patternType="solid">
        <fgColor theme="6" tint="0.59999389629810485"/>
        <bgColor indexed="65"/>
      </patternFill>
    </fill>
    <fill>
      <patternFill patternType="solid">
        <fgColor rgb="FFC3D69A"/>
      </patternFill>
    </fill>
    <fill>
      <patternFill patternType="solid">
        <fgColor theme="0"/>
        <bgColor indexed="64"/>
      </patternFill>
    </fill>
    <fill>
      <patternFill patternType="solid">
        <fgColor theme="6" tint="0.59999389629810485"/>
        <bgColor theme="6" tint="0.59999389629810485"/>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style="thin">
        <color rgb="FF000000"/>
      </right>
      <top style="thin">
        <color rgb="FF000000"/>
      </top>
      <bottom style="thin">
        <color rgb="FF000000"/>
      </bottom>
      <diagonal/>
    </border>
  </borders>
  <cellStyleXfs count="2">
    <xf numFmtId="0" fontId="0" fillId="0" borderId="0"/>
    <xf numFmtId="0" fontId="3" fillId="2" borderId="0" applyNumberFormat="0" applyBorder="0" applyAlignment="0" applyProtection="0"/>
  </cellStyleXfs>
  <cellXfs count="231">
    <xf numFmtId="0" fontId="0" fillId="0" borderId="0" xfId="0"/>
    <xf numFmtId="0" fontId="5" fillId="0" borderId="2" xfId="0" applyFont="1" applyBorder="1" applyAlignment="1">
      <alignment horizontal="left" vertical="center" wrapText="1"/>
    </xf>
    <xf numFmtId="0" fontId="5" fillId="0" borderId="2" xfId="0" applyFont="1" applyBorder="1" applyAlignment="1">
      <alignment horizontal="center" vertical="top" wrapText="1"/>
    </xf>
    <xf numFmtId="0" fontId="7" fillId="0" borderId="2" xfId="0" applyFont="1" applyBorder="1" applyAlignment="1">
      <alignment horizontal="center" vertical="top" wrapText="1"/>
    </xf>
    <xf numFmtId="0" fontId="7" fillId="0" borderId="2" xfId="0" applyFont="1" applyBorder="1" applyAlignment="1">
      <alignment horizontal="left" vertical="top" wrapText="1"/>
    </xf>
    <xf numFmtId="0" fontId="9" fillId="0" borderId="2" xfId="0" applyFont="1" applyBorder="1" applyAlignment="1">
      <alignment horizontal="center" vertical="top" wrapText="1"/>
    </xf>
    <xf numFmtId="1" fontId="11" fillId="0" borderId="2" xfId="0" applyNumberFormat="1" applyFont="1" applyBorder="1" applyAlignment="1">
      <alignment horizontal="center" vertical="center" shrinkToFit="1"/>
    </xf>
    <xf numFmtId="0" fontId="9" fillId="0" borderId="2" xfId="0" applyFont="1" applyBorder="1" applyAlignment="1">
      <alignment horizontal="left" vertical="top" wrapText="1"/>
    </xf>
    <xf numFmtId="0" fontId="9" fillId="0" borderId="2" xfId="0" applyFont="1" applyBorder="1" applyAlignment="1">
      <alignment horizontal="center" vertical="center" wrapText="1"/>
    </xf>
    <xf numFmtId="1" fontId="11" fillId="0" borderId="2" xfId="0" applyNumberFormat="1" applyFont="1" applyBorder="1" applyAlignment="1">
      <alignment horizontal="center" vertical="top" shrinkToFit="1"/>
    </xf>
    <xf numFmtId="0" fontId="0" fillId="0" borderId="2" xfId="0" applyBorder="1" applyAlignment="1">
      <alignment horizontal="left" vertical="top" wrapText="1"/>
    </xf>
    <xf numFmtId="0" fontId="10" fillId="0" borderId="2" xfId="0" applyFont="1" applyBorder="1" applyAlignment="1">
      <alignment horizontal="center" vertical="top" wrapText="1"/>
    </xf>
    <xf numFmtId="0" fontId="10" fillId="0" borderId="2" xfId="0" applyFont="1" applyBorder="1" applyAlignment="1">
      <alignment horizontal="left" vertical="top" wrapText="1"/>
    </xf>
    <xf numFmtId="0" fontId="9" fillId="0" borderId="2" xfId="0" applyFont="1" applyBorder="1" applyAlignment="1">
      <alignment horizontal="left" vertical="center" wrapText="1"/>
    </xf>
    <xf numFmtId="1" fontId="13" fillId="0" borderId="2" xfId="0" applyNumberFormat="1" applyFont="1" applyBorder="1" applyAlignment="1">
      <alignment horizontal="center" vertical="top" shrinkToFit="1"/>
    </xf>
    <xf numFmtId="1" fontId="13" fillId="0" borderId="2" xfId="0" applyNumberFormat="1" applyFont="1" applyBorder="1" applyAlignment="1">
      <alignment horizontal="center" vertical="center" shrinkToFit="1"/>
    </xf>
    <xf numFmtId="0" fontId="9" fillId="0" borderId="2" xfId="0" applyFont="1" applyBorder="1" applyAlignment="1">
      <alignment horizontal="left" vertical="center" wrapText="1" indent="1"/>
    </xf>
    <xf numFmtId="0" fontId="0" fillId="0" borderId="3" xfId="0" applyBorder="1" applyAlignment="1">
      <alignment horizontal="left" vertical="center" wrapText="1"/>
    </xf>
    <xf numFmtId="0" fontId="14" fillId="0" borderId="2" xfId="0" applyFont="1" applyBorder="1" applyAlignment="1">
      <alignment horizontal="center" vertical="top" wrapText="1"/>
    </xf>
    <xf numFmtId="0" fontId="15" fillId="0" borderId="2" xfId="0" applyFont="1" applyBorder="1" applyAlignment="1">
      <alignment horizontal="center" vertical="top" wrapText="1"/>
    </xf>
    <xf numFmtId="0" fontId="16" fillId="3" borderId="2" xfId="0" applyFont="1" applyFill="1" applyBorder="1" applyAlignment="1">
      <alignment horizontal="left" vertical="center" wrapText="1"/>
    </xf>
    <xf numFmtId="1" fontId="11" fillId="0" borderId="2" xfId="0" applyNumberFormat="1" applyFont="1" applyBorder="1" applyAlignment="1">
      <alignment horizontal="left" vertical="center" indent="1" shrinkToFit="1"/>
    </xf>
    <xf numFmtId="0" fontId="16" fillId="0" borderId="2" xfId="0" applyFont="1" applyBorder="1" applyAlignment="1">
      <alignment horizontal="left" vertical="center" wrapText="1"/>
    </xf>
    <xf numFmtId="0" fontId="16" fillId="0" borderId="2" xfId="0" applyFont="1" applyBorder="1" applyAlignment="1">
      <alignment horizontal="left" vertical="top" wrapText="1"/>
    </xf>
    <xf numFmtId="0" fontId="10" fillId="0" borderId="2" xfId="0" applyFont="1" applyBorder="1" applyAlignment="1">
      <alignment horizontal="center" vertical="center" wrapText="1"/>
    </xf>
    <xf numFmtId="0" fontId="16" fillId="0" borderId="2" xfId="0" applyFont="1" applyBorder="1" applyAlignment="1">
      <alignment horizontal="center" vertical="top" wrapText="1"/>
    </xf>
    <xf numFmtId="0" fontId="0" fillId="3" borderId="5" xfId="0" applyFill="1" applyBorder="1" applyAlignment="1">
      <alignment horizontal="left" vertical="top" wrapText="1"/>
    </xf>
    <xf numFmtId="0" fontId="9" fillId="3" borderId="2" xfId="0" applyFont="1" applyFill="1" applyBorder="1" applyAlignment="1">
      <alignment horizontal="center" vertical="center" wrapText="1"/>
    </xf>
    <xf numFmtId="1" fontId="11" fillId="0" borderId="2" xfId="0" applyNumberFormat="1" applyFont="1" applyBorder="1" applyAlignment="1">
      <alignment horizontal="left" vertical="top" indent="1" shrinkToFit="1"/>
    </xf>
    <xf numFmtId="1" fontId="11" fillId="0" borderId="7" xfId="0" applyNumberFormat="1" applyFont="1" applyBorder="1" applyAlignment="1">
      <alignment horizontal="center" vertical="top" shrinkToFit="1"/>
    </xf>
    <xf numFmtId="0" fontId="9" fillId="0" borderId="3" xfId="0" applyFont="1" applyBorder="1" applyAlignment="1">
      <alignment horizontal="left" vertical="top" wrapText="1"/>
    </xf>
    <xf numFmtId="0" fontId="9" fillId="0" borderId="2" xfId="0" applyFont="1" applyBorder="1" applyAlignment="1">
      <alignment horizontal="center" vertical="center"/>
    </xf>
    <xf numFmtId="0" fontId="10" fillId="0" borderId="2" xfId="0" applyFont="1" applyBorder="1" applyAlignment="1">
      <alignment horizontal="left" vertical="center" wrapText="1"/>
    </xf>
    <xf numFmtId="0" fontId="0" fillId="0" borderId="9" xfId="0" applyBorder="1" applyAlignment="1">
      <alignment horizontal="center" vertical="center"/>
    </xf>
    <xf numFmtId="0" fontId="10" fillId="0" borderId="2" xfId="0" applyFont="1" applyBorder="1" applyAlignment="1">
      <alignment horizontal="center" vertical="center"/>
    </xf>
    <xf numFmtId="0" fontId="9" fillId="0" borderId="3" xfId="0" applyFont="1" applyBorder="1" applyAlignment="1">
      <alignment horizontal="center" vertical="center"/>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9" fillId="0" borderId="10" xfId="0" applyFont="1" applyBorder="1" applyAlignment="1">
      <alignment horizontal="center" vertical="center"/>
    </xf>
    <xf numFmtId="1" fontId="11" fillId="0" borderId="10" xfId="0" applyNumberFormat="1" applyFont="1" applyBorder="1" applyAlignment="1">
      <alignment horizontal="center" vertical="center" shrinkToFit="1"/>
    </xf>
    <xf numFmtId="0" fontId="0" fillId="0" borderId="2" xfId="0" applyBorder="1" applyAlignment="1">
      <alignment horizontal="left" vertical="center" wrapText="1"/>
    </xf>
    <xf numFmtId="0" fontId="7" fillId="0" borderId="2" xfId="0" applyFont="1" applyBorder="1" applyAlignment="1">
      <alignment horizontal="lef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wrapText="1"/>
      <protection locked="0"/>
    </xf>
    <xf numFmtId="0" fontId="3" fillId="2" borderId="1" xfId="1" applyBorder="1" applyProtection="1">
      <protection locked="0"/>
    </xf>
    <xf numFmtId="0" fontId="29" fillId="0" borderId="0" xfId="0" applyFont="1" applyProtection="1">
      <protection locked="0"/>
    </xf>
    <xf numFmtId="0" fontId="19" fillId="0" borderId="0" xfId="0" applyFont="1" applyProtection="1">
      <protection locked="0"/>
    </xf>
    <xf numFmtId="0" fontId="3" fillId="2" borderId="0" xfId="1" applyProtection="1">
      <protection locked="0"/>
    </xf>
    <xf numFmtId="0" fontId="4" fillId="0" borderId="0" xfId="0" applyFont="1" applyProtection="1">
      <protection locked="0"/>
    </xf>
    <xf numFmtId="0" fontId="18" fillId="0" borderId="0" xfId="0" applyFont="1" applyProtection="1">
      <protection locked="0"/>
    </xf>
    <xf numFmtId="0" fontId="0" fillId="0" borderId="0" xfId="0" applyAlignment="1" applyProtection="1">
      <alignment vertical="top"/>
      <protection locked="0"/>
    </xf>
    <xf numFmtId="0" fontId="28" fillId="0" borderId="0" xfId="0" applyFont="1"/>
    <xf numFmtId="0" fontId="3" fillId="0" borderId="0" xfId="1" applyFill="1" applyAlignment="1" applyProtection="1">
      <protection locked="0"/>
    </xf>
    <xf numFmtId="0" fontId="3" fillId="0" borderId="0" xfId="1" applyFill="1" applyProtection="1">
      <protection locked="0"/>
    </xf>
    <xf numFmtId="0" fontId="22" fillId="4" borderId="13" xfId="0" applyFont="1" applyFill="1" applyBorder="1" applyProtection="1">
      <protection locked="0"/>
    </xf>
    <xf numFmtId="0" fontId="24" fillId="4" borderId="11" xfId="0" applyFont="1" applyFill="1" applyBorder="1" applyAlignment="1" applyProtection="1">
      <alignment vertical="center"/>
      <protection locked="0"/>
    </xf>
    <xf numFmtId="0" fontId="0" fillId="0" borderId="18" xfId="0" applyBorder="1" applyAlignment="1" applyProtection="1">
      <alignment horizontal="left"/>
      <protection locked="0"/>
    </xf>
    <xf numFmtId="0" fontId="24" fillId="4" borderId="9" xfId="0" applyFont="1" applyFill="1" applyBorder="1" applyAlignment="1" applyProtection="1">
      <alignment horizontal="center" vertical="center"/>
      <protection locked="0"/>
    </xf>
    <xf numFmtId="0" fontId="26" fillId="0" borderId="16" xfId="0" applyFont="1" applyBorder="1" applyAlignment="1" applyProtection="1">
      <alignment horizontal="center" vertical="center"/>
      <protection locked="0"/>
    </xf>
    <xf numFmtId="0" fontId="24" fillId="4" borderId="14" xfId="0" applyFont="1" applyFill="1" applyBorder="1" applyAlignment="1" applyProtection="1">
      <alignment horizontal="center" vertical="center"/>
      <protection locked="0"/>
    </xf>
    <xf numFmtId="0" fontId="26" fillId="0" borderId="9" xfId="0" applyFont="1" applyBorder="1" applyProtection="1">
      <protection locked="0"/>
    </xf>
    <xf numFmtId="0" fontId="27" fillId="4" borderId="9" xfId="0" applyFont="1" applyFill="1" applyBorder="1" applyAlignment="1" applyProtection="1">
      <alignment vertical="center" wrapText="1"/>
      <protection locked="0"/>
    </xf>
    <xf numFmtId="0" fontId="27" fillId="4" borderId="9" xfId="0" applyFont="1" applyFill="1" applyBorder="1" applyAlignment="1" applyProtection="1">
      <alignment horizontal="center" vertical="center" wrapText="1"/>
      <protection locked="0"/>
    </xf>
    <xf numFmtId="0" fontId="24" fillId="4" borderId="16" xfId="0" applyFont="1" applyFill="1" applyBorder="1" applyAlignment="1" applyProtection="1">
      <alignment horizontal="center" vertical="center" wrapText="1"/>
      <protection locked="0"/>
    </xf>
    <xf numFmtId="0" fontId="24" fillId="4" borderId="9" xfId="0" applyFont="1" applyFill="1" applyBorder="1" applyAlignment="1" applyProtection="1">
      <alignment horizontal="center" vertical="center" wrapText="1"/>
      <protection locked="0"/>
    </xf>
    <xf numFmtId="0" fontId="24" fillId="4" borderId="0" xfId="0" applyFont="1" applyFill="1" applyAlignment="1" applyProtection="1">
      <alignment horizontal="center" vertical="center" wrapText="1"/>
      <protection locked="0"/>
    </xf>
    <xf numFmtId="0" fontId="27" fillId="4" borderId="0" xfId="0" applyFont="1" applyFill="1" applyAlignment="1" applyProtection="1">
      <alignment vertical="center"/>
      <protection locked="0"/>
    </xf>
    <xf numFmtId="0" fontId="27" fillId="4" borderId="0" xfId="0" applyFont="1" applyFill="1" applyAlignment="1" applyProtection="1">
      <alignment horizontal="center" vertical="center" wrapText="1"/>
      <protection locked="0"/>
    </xf>
    <xf numFmtId="0" fontId="27" fillId="4" borderId="17" xfId="0" applyFont="1" applyFill="1" applyBorder="1" applyAlignment="1" applyProtection="1">
      <alignment horizontal="center" vertical="center" wrapText="1"/>
      <protection locked="0"/>
    </xf>
    <xf numFmtId="0" fontId="27" fillId="4" borderId="0" xfId="0" applyFont="1" applyFill="1" applyProtection="1">
      <protection locked="0"/>
    </xf>
    <xf numFmtId="0" fontId="24" fillId="4" borderId="0" xfId="0" applyFont="1" applyFill="1" applyAlignment="1" applyProtection="1">
      <alignment horizontal="right"/>
      <protection locked="0"/>
    </xf>
    <xf numFmtId="0" fontId="0" fillId="0" borderId="13" xfId="0" applyBorder="1" applyAlignment="1">
      <alignment horizontal="left" vertical="center"/>
    </xf>
    <xf numFmtId="0" fontId="21" fillId="4" borderId="21" xfId="0" applyFont="1" applyFill="1" applyBorder="1" applyAlignment="1" applyProtection="1">
      <alignment vertical="center"/>
      <protection locked="0"/>
    </xf>
    <xf numFmtId="0" fontId="23" fillId="4" borderId="21" xfId="0" applyFont="1" applyFill="1" applyBorder="1" applyAlignment="1" applyProtection="1">
      <alignment vertical="center"/>
      <protection locked="0"/>
    </xf>
    <xf numFmtId="0" fontId="23" fillId="4" borderId="20" xfId="0" applyFont="1" applyFill="1" applyBorder="1" applyAlignment="1" applyProtection="1">
      <alignment vertical="center"/>
      <protection locked="0"/>
    </xf>
    <xf numFmtId="0" fontId="24" fillId="4" borderId="11" xfId="0" applyFont="1" applyFill="1" applyBorder="1" applyAlignment="1" applyProtection="1">
      <alignment horizontal="left" vertical="center"/>
      <protection locked="0"/>
    </xf>
    <xf numFmtId="0" fontId="24" fillId="4" borderId="20" xfId="0" applyFont="1" applyFill="1" applyBorder="1" applyAlignment="1" applyProtection="1">
      <alignment vertical="center"/>
      <protection locked="0"/>
    </xf>
    <xf numFmtId="0" fontId="0" fillId="0" borderId="18" xfId="0" applyBorder="1" applyAlignment="1" applyProtection="1">
      <alignment horizontal="left" vertical="center"/>
      <protection locked="0"/>
    </xf>
    <xf numFmtId="0" fontId="24" fillId="4" borderId="11" xfId="0" applyFont="1" applyFill="1" applyBorder="1" applyAlignment="1" applyProtection="1">
      <alignment vertical="center" wrapText="1"/>
      <protection locked="0"/>
    </xf>
    <xf numFmtId="0" fontId="0" fillId="0" borderId="9" xfId="0" applyBorder="1" applyAlignment="1" applyProtection="1">
      <alignment vertical="center" wrapText="1"/>
      <protection locked="0"/>
    </xf>
    <xf numFmtId="0" fontId="24" fillId="4" borderId="16" xfId="0" applyFont="1" applyFill="1" applyBorder="1" applyAlignment="1" applyProtection="1">
      <alignment vertical="center" wrapText="1"/>
      <protection locked="0"/>
    </xf>
    <xf numFmtId="0" fontId="27" fillId="4" borderId="13" xfId="0" applyFont="1" applyFill="1" applyBorder="1" applyAlignment="1" applyProtection="1">
      <alignment vertical="center" wrapText="1"/>
      <protection locked="0"/>
    </xf>
    <xf numFmtId="0" fontId="0" fillId="0" borderId="0" xfId="0" applyAlignment="1" applyProtection="1">
      <alignment horizontal="left"/>
      <protection locked="0"/>
    </xf>
    <xf numFmtId="0" fontId="0" fillId="0" borderId="13" xfId="0" applyBorder="1" applyAlignment="1">
      <alignment horizontal="left" vertical="center" wrapText="1"/>
    </xf>
    <xf numFmtId="0" fontId="0" fillId="0" borderId="0" xfId="0" applyAlignment="1">
      <alignment horizontal="center" vertical="center"/>
    </xf>
    <xf numFmtId="1" fontId="11" fillId="0" borderId="3" xfId="0" applyNumberFormat="1" applyFont="1" applyBorder="1" applyAlignment="1">
      <alignment horizontal="center" vertical="center" shrinkToFit="1"/>
    </xf>
    <xf numFmtId="1" fontId="11" fillId="0" borderId="4" xfId="0" applyNumberFormat="1" applyFont="1" applyBorder="1" applyAlignment="1">
      <alignment horizontal="center" vertical="center" shrinkToFit="1"/>
    </xf>
    <xf numFmtId="1" fontId="11" fillId="0" borderId="5" xfId="0" applyNumberFormat="1" applyFont="1" applyBorder="1" applyAlignment="1">
      <alignment horizontal="center" vertical="center" shrinkToFit="1"/>
    </xf>
    <xf numFmtId="0" fontId="9" fillId="0" borderId="5" xfId="0" applyFont="1" applyBorder="1" applyAlignment="1">
      <alignment horizontal="left" vertical="center" wrapText="1"/>
    </xf>
    <xf numFmtId="1" fontId="11" fillId="0" borderId="3" xfId="0" applyNumberFormat="1" applyFont="1" applyBorder="1" applyAlignment="1">
      <alignment horizontal="center" vertical="top" shrinkToFit="1"/>
    </xf>
    <xf numFmtId="1" fontId="11" fillId="0" borderId="4" xfId="0" applyNumberFormat="1" applyFont="1" applyBorder="1" applyAlignment="1">
      <alignment horizontal="center" vertical="top" shrinkToFit="1"/>
    </xf>
    <xf numFmtId="1" fontId="11" fillId="0" borderId="5" xfId="0" applyNumberFormat="1" applyFont="1" applyBorder="1" applyAlignment="1">
      <alignment horizontal="center" vertical="top" shrinkToFit="1"/>
    </xf>
    <xf numFmtId="0" fontId="9" fillId="0" borderId="4" xfId="0" applyFont="1" applyBorder="1" applyAlignment="1">
      <alignment horizontal="center" vertical="top" wrapText="1"/>
    </xf>
    <xf numFmtId="0" fontId="9" fillId="0" borderId="4" xfId="0" applyFont="1" applyBorder="1" applyAlignment="1">
      <alignment horizontal="center" vertical="center" wrapText="1"/>
    </xf>
    <xf numFmtId="1" fontId="11" fillId="0" borderId="3" xfId="0" applyNumberFormat="1" applyFont="1" applyBorder="1" applyAlignment="1">
      <alignment horizontal="left" vertical="center" indent="1" shrinkToFit="1"/>
    </xf>
    <xf numFmtId="1" fontId="11" fillId="0" borderId="5" xfId="0" applyNumberFormat="1" applyFont="1" applyBorder="1" applyAlignment="1">
      <alignment horizontal="left" vertical="center" indent="1" shrinkToFit="1"/>
    </xf>
    <xf numFmtId="0" fontId="0" fillId="0" borderId="3" xfId="0" applyBorder="1" applyAlignment="1">
      <alignment horizontal="left" vertical="top" wrapText="1"/>
    </xf>
    <xf numFmtId="1" fontId="11" fillId="0" borderId="4" xfId="0" applyNumberFormat="1" applyFont="1" applyBorder="1" applyAlignment="1">
      <alignment horizontal="center" vertical="center" wrapText="1" shrinkToFit="1"/>
    </xf>
    <xf numFmtId="0" fontId="0" fillId="0" borderId="4" xfId="0" applyBorder="1" applyAlignment="1">
      <alignment horizontal="left" vertical="top" wrapText="1"/>
    </xf>
    <xf numFmtId="0" fontId="9" fillId="0" borderId="4" xfId="0" applyFont="1" applyBorder="1" applyAlignment="1">
      <alignment horizontal="left" vertical="center" wrapText="1" indent="2"/>
    </xf>
    <xf numFmtId="0" fontId="9" fillId="0" borderId="4" xfId="0" applyFont="1" applyBorder="1" applyAlignment="1">
      <alignment horizontal="left" vertical="center" wrapText="1" indent="3"/>
    </xf>
    <xf numFmtId="0" fontId="0" fillId="0" borderId="0" xfId="0" applyAlignment="1" applyProtection="1">
      <alignment horizontal="center" vertical="center" wrapText="1"/>
      <protection locked="0"/>
    </xf>
    <xf numFmtId="0" fontId="30" fillId="0" borderId="11" xfId="0" applyFont="1" applyBorder="1" applyProtection="1">
      <protection locked="0"/>
    </xf>
    <xf numFmtId="0" fontId="30" fillId="0" borderId="20" xfId="0" applyFont="1" applyBorder="1" applyProtection="1">
      <protection locked="0"/>
    </xf>
    <xf numFmtId="0" fontId="30" fillId="0" borderId="20" xfId="0" applyFont="1" applyBorder="1" applyAlignment="1" applyProtection="1">
      <alignment horizontal="center" vertical="center"/>
      <protection locked="0"/>
    </xf>
    <xf numFmtId="0" fontId="30" fillId="0" borderId="11" xfId="0" applyFont="1" applyBorder="1" applyAlignment="1" applyProtection="1">
      <alignment horizontal="center" vertical="center"/>
      <protection locked="0"/>
    </xf>
    <xf numFmtId="0" fontId="27" fillId="4" borderId="11" xfId="0" applyFont="1" applyFill="1" applyBorder="1" applyAlignment="1" applyProtection="1">
      <alignment vertical="center" wrapText="1"/>
      <protection locked="0"/>
    </xf>
    <xf numFmtId="0" fontId="0" fillId="0" borderId="9" xfId="0" applyBorder="1" applyAlignment="1" applyProtection="1">
      <alignment horizontal="center" vertical="center" wrapText="1"/>
      <protection locked="0"/>
    </xf>
    <xf numFmtId="0" fontId="0" fillId="0" borderId="9" xfId="0" applyBorder="1" applyProtection="1">
      <protection locked="0"/>
    </xf>
    <xf numFmtId="1" fontId="11" fillId="0" borderId="6" xfId="0" applyNumberFormat="1" applyFont="1" applyBorder="1" applyAlignment="1">
      <alignment horizontal="center" vertical="top" shrinkToFit="1"/>
    </xf>
    <xf numFmtId="0" fontId="29" fillId="2" borderId="23" xfId="1" applyFont="1" applyBorder="1" applyAlignment="1" applyProtection="1">
      <protection locked="0"/>
    </xf>
    <xf numFmtId="0" fontId="29" fillId="2" borderId="24" xfId="1" applyFont="1" applyBorder="1" applyAlignment="1" applyProtection="1">
      <protection locked="0"/>
    </xf>
    <xf numFmtId="0" fontId="29" fillId="0" borderId="0" xfId="0" applyFont="1" applyAlignment="1" applyProtection="1">
      <alignment horizontal="center"/>
      <protection locked="0"/>
    </xf>
    <xf numFmtId="0" fontId="0" fillId="0" borderId="0" xfId="1" applyFont="1" applyFill="1" applyProtection="1">
      <protection locked="0"/>
    </xf>
    <xf numFmtId="165" fontId="0" fillId="2" borderId="0" xfId="1" applyNumberFormat="1" applyFont="1" applyAlignment="1" applyProtection="1">
      <alignment horizontal="center" vertical="center"/>
      <protection locked="0"/>
    </xf>
    <xf numFmtId="0" fontId="0" fillId="5" borderId="0" xfId="0" applyFill="1"/>
    <xf numFmtId="0" fontId="0" fillId="5" borderId="0" xfId="0" applyFill="1" applyAlignment="1">
      <alignment horizontal="center" vertical="center"/>
    </xf>
    <xf numFmtId="0" fontId="31" fillId="0" borderId="0" xfId="0" applyFont="1" applyProtection="1">
      <protection locked="0"/>
    </xf>
    <xf numFmtId="0" fontId="28" fillId="0" borderId="0" xfId="0" applyFont="1" applyProtection="1">
      <protection locked="0"/>
    </xf>
    <xf numFmtId="0" fontId="24" fillId="4" borderId="14" xfId="0" applyFont="1" applyFill="1" applyBorder="1" applyAlignment="1" applyProtection="1">
      <alignment horizontal="center" vertical="center" wrapText="1"/>
      <protection locked="0"/>
    </xf>
    <xf numFmtId="0" fontId="24" fillId="4" borderId="16"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protection locked="0"/>
    </xf>
    <xf numFmtId="0" fontId="20" fillId="4" borderId="11" xfId="0" applyFont="1" applyFill="1" applyBorder="1" applyAlignment="1" applyProtection="1">
      <alignment horizontal="center" vertical="center" wrapText="1"/>
      <protection locked="0"/>
    </xf>
    <xf numFmtId="0" fontId="20" fillId="4" borderId="12" xfId="0" applyFont="1" applyFill="1" applyBorder="1" applyAlignment="1" applyProtection="1">
      <alignment horizontal="center" vertical="center" wrapText="1"/>
      <protection locked="0"/>
    </xf>
    <xf numFmtId="0" fontId="21" fillId="4" borderId="9" xfId="0" applyFont="1" applyFill="1" applyBorder="1" applyAlignment="1" applyProtection="1">
      <alignment horizontal="center" vertical="center" wrapText="1"/>
      <protection locked="0"/>
    </xf>
    <xf numFmtId="0" fontId="21" fillId="4" borderId="9" xfId="0" applyFont="1" applyFill="1" applyBorder="1" applyAlignment="1" applyProtection="1">
      <alignment horizontal="center" vertical="center"/>
      <protection locked="0"/>
    </xf>
    <xf numFmtId="0" fontId="21" fillId="4" borderId="11" xfId="0" applyFont="1" applyFill="1" applyBorder="1" applyAlignment="1" applyProtection="1">
      <alignment horizontal="center" vertical="center"/>
      <protection locked="0"/>
    </xf>
    <xf numFmtId="0" fontId="22" fillId="4" borderId="14" xfId="0" applyFont="1" applyFill="1" applyBorder="1" applyAlignment="1" applyProtection="1">
      <alignment horizontal="center"/>
      <protection locked="0"/>
    </xf>
    <xf numFmtId="0" fontId="22" fillId="4" borderId="15" xfId="0" applyFont="1" applyFill="1" applyBorder="1" applyAlignment="1" applyProtection="1">
      <alignment horizontal="center"/>
      <protection locked="0"/>
    </xf>
    <xf numFmtId="0" fontId="22" fillId="4" borderId="16" xfId="0" applyFont="1" applyFill="1" applyBorder="1" applyAlignment="1" applyProtection="1">
      <alignment horizontal="center"/>
      <protection locked="0"/>
    </xf>
    <xf numFmtId="0" fontId="23" fillId="4" borderId="9" xfId="0" applyFont="1" applyFill="1" applyBorder="1" applyAlignment="1" applyProtection="1">
      <alignment horizontal="center" vertical="center"/>
      <protection locked="0"/>
    </xf>
    <xf numFmtId="0" fontId="23" fillId="4" borderId="11" xfId="0" applyFont="1" applyFill="1" applyBorder="1" applyAlignment="1" applyProtection="1">
      <alignment horizontal="center" vertical="center"/>
      <protection locked="0"/>
    </xf>
    <xf numFmtId="0" fontId="22" fillId="4" borderId="11" xfId="0" applyFont="1" applyFill="1" applyBorder="1" applyAlignment="1" applyProtection="1">
      <alignment horizontal="center" vertical="center"/>
      <protection locked="0"/>
    </xf>
    <xf numFmtId="0" fontId="22" fillId="4" borderId="12" xfId="0" applyFont="1" applyFill="1" applyBorder="1" applyAlignment="1" applyProtection="1">
      <alignment horizontal="center" vertical="center"/>
      <protection locked="0"/>
    </xf>
    <xf numFmtId="0" fontId="22" fillId="4" borderId="13" xfId="0" applyFont="1" applyFill="1" applyBorder="1" applyAlignment="1" applyProtection="1">
      <alignment horizontal="center" vertical="center"/>
      <protection locked="0"/>
    </xf>
    <xf numFmtId="0" fontId="25" fillId="4" borderId="11" xfId="0" applyFont="1" applyFill="1" applyBorder="1" applyAlignment="1" applyProtection="1">
      <alignment horizontal="left" vertical="center" wrapText="1"/>
      <protection locked="0"/>
    </xf>
    <xf numFmtId="0" fontId="25" fillId="4" borderId="12" xfId="0" applyFont="1" applyFill="1" applyBorder="1" applyAlignment="1" applyProtection="1">
      <alignment horizontal="left" vertical="center" wrapText="1"/>
      <protection locked="0"/>
    </xf>
    <xf numFmtId="0" fontId="24" fillId="4" borderId="9" xfId="0" applyFont="1" applyFill="1" applyBorder="1" applyAlignment="1" applyProtection="1">
      <alignment horizontal="left" vertical="center" wrapText="1"/>
      <protection locked="0"/>
    </xf>
    <xf numFmtId="0" fontId="24" fillId="4" borderId="11" xfId="0" applyFont="1" applyFill="1" applyBorder="1" applyAlignment="1" applyProtection="1">
      <alignment horizontal="left" vertical="center" wrapText="1"/>
      <protection locked="0"/>
    </xf>
    <xf numFmtId="0" fontId="24" fillId="4" borderId="12" xfId="0" applyFont="1" applyFill="1" applyBorder="1" applyAlignment="1" applyProtection="1">
      <alignment horizontal="left" vertical="center" wrapText="1"/>
      <protection locked="0"/>
    </xf>
    <xf numFmtId="0" fontId="24" fillId="4" borderId="13" xfId="0" applyFont="1" applyFill="1" applyBorder="1" applyAlignment="1" applyProtection="1">
      <alignment horizontal="left" vertical="center" wrapText="1"/>
      <protection locked="0"/>
    </xf>
    <xf numFmtId="164" fontId="24" fillId="4" borderId="22" xfId="0" applyNumberFormat="1" applyFont="1" applyFill="1" applyBorder="1" applyAlignment="1" applyProtection="1">
      <alignment horizontal="center" vertical="center" wrapText="1"/>
      <protection locked="0"/>
    </xf>
    <xf numFmtId="164" fontId="24" fillId="4" borderId="16" xfId="0" applyNumberFormat="1" applyFont="1" applyFill="1" applyBorder="1" applyAlignment="1" applyProtection="1">
      <alignment horizontal="center" vertical="center" wrapText="1"/>
      <protection locked="0"/>
    </xf>
    <xf numFmtId="164" fontId="24" fillId="4" borderId="14" xfId="0" applyNumberFormat="1" applyFont="1" applyFill="1" applyBorder="1" applyAlignment="1" applyProtection="1">
      <alignment horizontal="center" vertical="center" wrapText="1"/>
      <protection locked="0"/>
    </xf>
    <xf numFmtId="0" fontId="27" fillId="4" borderId="11" xfId="0" applyFont="1" applyFill="1" applyBorder="1" applyAlignment="1" applyProtection="1">
      <alignment horizontal="center" vertical="center" wrapText="1"/>
      <protection locked="0"/>
    </xf>
    <xf numFmtId="0" fontId="27" fillId="4" borderId="13" xfId="0" applyFont="1" applyFill="1" applyBorder="1" applyAlignment="1" applyProtection="1">
      <alignment horizontal="center" vertical="center" wrapText="1"/>
      <protection locked="0"/>
    </xf>
    <xf numFmtId="0" fontId="27" fillId="4" borderId="12" xfId="0" applyFont="1" applyFill="1" applyBorder="1" applyAlignment="1" applyProtection="1">
      <alignment horizontal="center" vertical="center" wrapText="1"/>
      <protection locked="0"/>
    </xf>
    <xf numFmtId="0" fontId="0" fillId="0" borderId="19" xfId="0" applyBorder="1" applyAlignment="1" applyProtection="1">
      <alignment horizontal="center"/>
      <protection locked="0"/>
    </xf>
    <xf numFmtId="0" fontId="0" fillId="0" borderId="0" xfId="0" applyAlignment="1" applyProtection="1">
      <alignment horizontal="center"/>
      <protection locked="0"/>
    </xf>
    <xf numFmtId="0" fontId="27" fillId="4" borderId="11" xfId="0" applyFont="1" applyFill="1" applyBorder="1" applyAlignment="1" applyProtection="1">
      <alignment horizontal="left" vertical="center"/>
      <protection locked="0"/>
    </xf>
    <xf numFmtId="0" fontId="27" fillId="4" borderId="13" xfId="0" applyFont="1" applyFill="1" applyBorder="1" applyAlignment="1" applyProtection="1">
      <alignment horizontal="left" vertical="center"/>
      <protection locked="0"/>
    </xf>
    <xf numFmtId="0" fontId="27" fillId="4" borderId="0" xfId="0" applyFont="1" applyFill="1" applyAlignment="1" applyProtection="1">
      <alignment horizontal="left"/>
      <protection locked="0"/>
    </xf>
    <xf numFmtId="0" fontId="27" fillId="4" borderId="9" xfId="0" applyFont="1" applyFill="1" applyBorder="1" applyAlignment="1" applyProtection="1">
      <alignment horizontal="center" vertical="center" wrapText="1"/>
      <protection locked="0"/>
    </xf>
    <xf numFmtId="0" fontId="27" fillId="4" borderId="9" xfId="0" applyFont="1" applyFill="1" applyBorder="1" applyAlignment="1" applyProtection="1">
      <alignment horizontal="center" vertical="center"/>
      <protection locked="0"/>
    </xf>
    <xf numFmtId="0" fontId="27" fillId="4" borderId="0" xfId="0" applyFont="1" applyFill="1" applyAlignment="1" applyProtection="1">
      <alignment horizontal="center"/>
      <protection locked="0"/>
    </xf>
    <xf numFmtId="0" fontId="21" fillId="4" borderId="11" xfId="0" applyFont="1" applyFill="1" applyBorder="1" applyAlignment="1" applyProtection="1">
      <alignment horizontal="center" vertical="center" wrapText="1"/>
      <protection locked="0"/>
    </xf>
    <xf numFmtId="0" fontId="21" fillId="4" borderId="12" xfId="0" applyFont="1" applyFill="1" applyBorder="1" applyAlignment="1" applyProtection="1">
      <alignment horizontal="center" vertical="center" wrapText="1"/>
      <protection locked="0"/>
    </xf>
    <xf numFmtId="0" fontId="23" fillId="4" borderId="12" xfId="0" applyFont="1" applyFill="1" applyBorder="1" applyAlignment="1" applyProtection="1">
      <alignment horizontal="center" vertical="center"/>
      <protection locked="0"/>
    </xf>
    <xf numFmtId="0" fontId="27" fillId="4" borderId="9" xfId="0" applyFont="1" applyFill="1" applyBorder="1" applyAlignment="1" applyProtection="1">
      <alignment horizontal="left" vertical="center"/>
      <protection locked="0"/>
    </xf>
    <xf numFmtId="0" fontId="27" fillId="4" borderId="9" xfId="0" applyFont="1" applyFill="1" applyBorder="1" applyAlignment="1" applyProtection="1">
      <alignment horizontal="center"/>
      <protection locked="0"/>
    </xf>
    <xf numFmtId="0" fontId="27" fillId="4" borderId="19" xfId="0" applyFont="1" applyFill="1" applyBorder="1" applyAlignment="1" applyProtection="1">
      <alignment horizontal="left"/>
      <protection locked="0"/>
    </xf>
    <xf numFmtId="0" fontId="27" fillId="4" borderId="22" xfId="0" applyFont="1" applyFill="1" applyBorder="1" applyAlignment="1" applyProtection="1">
      <alignment horizontal="left" vertical="center"/>
      <protection locked="0"/>
    </xf>
    <xf numFmtId="0" fontId="27" fillId="4" borderId="18" xfId="0" applyFont="1" applyFill="1" applyBorder="1" applyAlignment="1" applyProtection="1">
      <alignment horizontal="left" vertical="center"/>
      <protection locked="0"/>
    </xf>
    <xf numFmtId="0" fontId="27" fillId="4" borderId="9" xfId="0" applyFont="1" applyFill="1" applyBorder="1" applyAlignment="1" applyProtection="1">
      <alignment horizontal="left"/>
      <protection locked="0"/>
    </xf>
    <xf numFmtId="0" fontId="0" fillId="0" borderId="0" xfId="0" applyProtection="1">
      <protection locked="0"/>
    </xf>
    <xf numFmtId="0" fontId="0" fillId="0" borderId="0" xfId="0" applyAlignment="1" applyProtection="1">
      <alignment horizontal="center" wrapText="1"/>
      <protection locked="0"/>
    </xf>
    <xf numFmtId="0" fontId="9" fillId="0" borderId="6" xfId="0" applyFont="1" applyBorder="1" applyAlignment="1">
      <alignment horizontal="left" vertical="top" wrapText="1"/>
    </xf>
    <xf numFmtId="0" fontId="9" fillId="0" borderId="25" xfId="0" applyFont="1"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16" fillId="3" borderId="3" xfId="0" applyFont="1" applyFill="1" applyBorder="1" applyAlignment="1">
      <alignment horizontal="left" vertical="center" wrapText="1" indent="1"/>
    </xf>
    <xf numFmtId="0" fontId="16" fillId="3" borderId="4" xfId="0" applyFont="1" applyFill="1" applyBorder="1" applyAlignment="1">
      <alignment horizontal="left" vertical="center" wrapText="1" indent="1"/>
    </xf>
    <xf numFmtId="0" fontId="16" fillId="3" borderId="5" xfId="0" applyFont="1" applyFill="1" applyBorder="1" applyAlignment="1">
      <alignment horizontal="left" vertical="center" wrapText="1" indent="1"/>
    </xf>
    <xf numFmtId="0" fontId="16" fillId="0" borderId="3" xfId="0" applyFont="1" applyBorder="1" applyAlignment="1">
      <alignment horizontal="left" vertical="center" wrapText="1" indent="2"/>
    </xf>
    <xf numFmtId="0" fontId="16" fillId="0" borderId="4" xfId="0" applyFont="1" applyBorder="1" applyAlignment="1">
      <alignment horizontal="left" vertical="center" wrapText="1" indent="2"/>
    </xf>
    <xf numFmtId="0" fontId="16" fillId="0" borderId="5" xfId="0" applyFont="1" applyBorder="1" applyAlignment="1">
      <alignment horizontal="left" vertical="center" wrapText="1" indent="2"/>
    </xf>
    <xf numFmtId="0" fontId="16" fillId="0" borderId="3" xfId="0" applyFont="1" applyBorder="1" applyAlignment="1">
      <alignment horizontal="left" vertical="center" wrapText="1"/>
    </xf>
    <xf numFmtId="0" fontId="16" fillId="0" borderId="4" xfId="0" applyFont="1" applyBorder="1" applyAlignment="1">
      <alignment horizontal="left" vertical="center" wrapText="1"/>
    </xf>
    <xf numFmtId="0" fontId="16" fillId="0" borderId="5" xfId="0" applyFont="1" applyBorder="1" applyAlignment="1">
      <alignment horizontal="left" vertical="center" wrapText="1"/>
    </xf>
    <xf numFmtId="0" fontId="16" fillId="0" borderId="3" xfId="0" applyFont="1" applyBorder="1" applyAlignment="1">
      <alignment horizontal="left" vertical="center" wrapText="1" indent="1"/>
    </xf>
    <xf numFmtId="0" fontId="16" fillId="0" borderId="4" xfId="0" applyFont="1" applyBorder="1" applyAlignment="1">
      <alignment horizontal="left" vertical="center" wrapText="1" indent="1"/>
    </xf>
    <xf numFmtId="0" fontId="16" fillId="0" borderId="5" xfId="0" applyFont="1" applyBorder="1" applyAlignment="1">
      <alignment horizontal="left" vertical="center" wrapText="1" indent="1"/>
    </xf>
    <xf numFmtId="0" fontId="9" fillId="3" borderId="3" xfId="0" applyFont="1" applyFill="1" applyBorder="1" applyAlignment="1">
      <alignment horizontal="left" wrapText="1" indent="2"/>
    </xf>
    <xf numFmtId="0" fontId="9" fillId="3" borderId="4" xfId="0" applyFont="1" applyFill="1" applyBorder="1" applyAlignment="1">
      <alignment horizontal="left" wrapText="1" indent="2"/>
    </xf>
    <xf numFmtId="0" fontId="16" fillId="0" borderId="3" xfId="0" applyFont="1" applyBorder="1" applyAlignment="1">
      <alignment horizontal="left" vertical="center" wrapText="1" indent="3"/>
    </xf>
    <xf numFmtId="0" fontId="16" fillId="0" borderId="4" xfId="0" applyFont="1" applyBorder="1" applyAlignment="1">
      <alignment horizontal="left" vertical="center" wrapText="1" indent="3"/>
    </xf>
    <xf numFmtId="0" fontId="16" fillId="0" borderId="5" xfId="0" applyFont="1" applyBorder="1" applyAlignment="1">
      <alignment horizontal="left" vertical="center" wrapText="1" indent="3"/>
    </xf>
    <xf numFmtId="1" fontId="11" fillId="0" borderId="3" xfId="0" applyNumberFormat="1" applyFont="1" applyBorder="1" applyAlignment="1">
      <alignment horizontal="center" vertical="center" shrinkToFit="1"/>
    </xf>
    <xf numFmtId="1" fontId="11" fillId="0" borderId="4" xfId="0" applyNumberFormat="1" applyFont="1" applyBorder="1" applyAlignment="1">
      <alignment horizontal="center" vertical="center" shrinkToFit="1"/>
    </xf>
    <xf numFmtId="1" fontId="11" fillId="0" borderId="5" xfId="0" applyNumberFormat="1" applyFont="1" applyBorder="1" applyAlignment="1">
      <alignment horizontal="center" vertical="center" shrinkToFit="1"/>
    </xf>
    <xf numFmtId="0" fontId="9" fillId="0" borderId="3" xfId="0" applyFont="1" applyBorder="1" applyAlignment="1">
      <alignment horizontal="left" vertical="center" wrapText="1"/>
    </xf>
    <xf numFmtId="0" fontId="9" fillId="0" borderId="4" xfId="0" applyFont="1" applyBorder="1" applyAlignment="1">
      <alignment horizontal="left" vertical="center" wrapText="1"/>
    </xf>
    <xf numFmtId="0" fontId="9" fillId="0" borderId="5" xfId="0" applyFont="1" applyBorder="1" applyAlignment="1">
      <alignment horizontal="left" vertical="center" wrapText="1"/>
    </xf>
    <xf numFmtId="0" fontId="10" fillId="0" borderId="3" xfId="0" applyFont="1" applyBorder="1" applyAlignment="1">
      <alignment horizontal="left" vertical="center" wrapText="1" indent="2"/>
    </xf>
    <xf numFmtId="0" fontId="10" fillId="0" borderId="4" xfId="0" applyFont="1" applyBorder="1" applyAlignment="1">
      <alignment horizontal="left" vertical="center" wrapText="1" indent="2"/>
    </xf>
    <xf numFmtId="0" fontId="9" fillId="0" borderId="5" xfId="0" applyFont="1" applyBorder="1" applyAlignment="1">
      <alignment horizontal="left" vertical="center" wrapText="1" indent="2"/>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1" fontId="11" fillId="0" borderId="3" xfId="0" applyNumberFormat="1" applyFont="1" applyBorder="1" applyAlignment="1">
      <alignment horizontal="left" vertical="center" indent="1" shrinkToFit="1"/>
    </xf>
    <xf numFmtId="1" fontId="11" fillId="0" borderId="4" xfId="0" applyNumberFormat="1" applyFont="1" applyBorder="1" applyAlignment="1">
      <alignment horizontal="left" vertical="center" indent="1" shrinkToFit="1"/>
    </xf>
    <xf numFmtId="1" fontId="11" fillId="0" borderId="5" xfId="0" applyNumberFormat="1" applyFont="1" applyBorder="1" applyAlignment="1">
      <alignment horizontal="left" vertical="center" indent="1" shrinkToFit="1"/>
    </xf>
    <xf numFmtId="0" fontId="10" fillId="0" borderId="3" xfId="0" applyFont="1" applyBorder="1" applyAlignment="1">
      <alignment horizontal="left" vertical="top" wrapText="1"/>
    </xf>
    <xf numFmtId="0" fontId="10" fillId="0" borderId="4" xfId="0" applyFont="1" applyBorder="1" applyAlignment="1">
      <alignment horizontal="left" vertical="top" wrapText="1"/>
    </xf>
    <xf numFmtId="0" fontId="9" fillId="0" borderId="5" xfId="0" applyFont="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9" fillId="0" borderId="3" xfId="0" applyFont="1" applyBorder="1" applyAlignment="1">
      <alignment horizontal="left" vertical="center" wrapText="1" indent="3"/>
    </xf>
    <xf numFmtId="0" fontId="9" fillId="0" borderId="4" xfId="0" applyFont="1" applyBorder="1" applyAlignment="1">
      <alignment horizontal="left" vertical="center" wrapText="1" indent="3"/>
    </xf>
    <xf numFmtId="0" fontId="9" fillId="0" borderId="5" xfId="0" applyFont="1" applyBorder="1" applyAlignment="1">
      <alignment horizontal="left" vertical="center" wrapText="1" indent="3"/>
    </xf>
    <xf numFmtId="1" fontId="11" fillId="0" borderId="4" xfId="0" applyNumberFormat="1" applyFont="1" applyBorder="1" applyAlignment="1">
      <alignment horizontal="center" vertical="top" shrinkToFit="1"/>
    </xf>
    <xf numFmtId="1" fontId="11" fillId="0" borderId="5" xfId="0" applyNumberFormat="1" applyFont="1" applyBorder="1" applyAlignment="1">
      <alignment horizontal="center" vertical="top" shrinkToFit="1"/>
    </xf>
    <xf numFmtId="0" fontId="9" fillId="0" borderId="4" xfId="0" applyFont="1" applyBorder="1" applyAlignment="1">
      <alignment horizontal="center" vertical="top" wrapText="1"/>
    </xf>
    <xf numFmtId="0" fontId="9" fillId="0" borderId="5" xfId="0" applyFont="1" applyBorder="1" applyAlignment="1">
      <alignment horizontal="center" vertical="top" wrapText="1"/>
    </xf>
    <xf numFmtId="0" fontId="9" fillId="0" borderId="3" xfId="0" applyFont="1" applyBorder="1" applyAlignment="1">
      <alignment horizontal="left" vertical="center" wrapText="1" indent="5"/>
    </xf>
    <xf numFmtId="0" fontId="9" fillId="0" borderId="4" xfId="0" applyFont="1" applyBorder="1" applyAlignment="1">
      <alignment horizontal="left" vertical="center" wrapText="1" indent="5"/>
    </xf>
    <xf numFmtId="0" fontId="9" fillId="0" borderId="5" xfId="0" applyFont="1" applyBorder="1" applyAlignment="1">
      <alignment horizontal="left" vertical="center" wrapText="1" indent="5"/>
    </xf>
    <xf numFmtId="0" fontId="9" fillId="0" borderId="3" xfId="0" applyFont="1" applyBorder="1" applyAlignment="1">
      <alignment horizontal="left" vertical="center" wrapText="1" indent="4"/>
    </xf>
    <xf numFmtId="0" fontId="9" fillId="0" borderId="4" xfId="0" applyFont="1" applyBorder="1" applyAlignment="1">
      <alignment horizontal="left" vertical="center" wrapText="1" indent="4"/>
    </xf>
    <xf numFmtId="0" fontId="9" fillId="0" borderId="5" xfId="0" applyFont="1" applyBorder="1" applyAlignment="1">
      <alignment horizontal="left" vertical="center" wrapText="1" indent="4"/>
    </xf>
    <xf numFmtId="1" fontId="11" fillId="0" borderId="3" xfId="0" applyNumberFormat="1" applyFont="1" applyBorder="1" applyAlignment="1">
      <alignment horizontal="center" vertical="top" shrinkToFit="1"/>
    </xf>
    <xf numFmtId="0" fontId="9" fillId="0" borderId="3" xfId="0" applyFont="1" applyBorder="1" applyAlignment="1">
      <alignment horizontal="center" vertical="top" wrapText="1"/>
    </xf>
    <xf numFmtId="0" fontId="9" fillId="0" borderId="3" xfId="0" applyFont="1" applyBorder="1" applyAlignment="1">
      <alignment horizontal="left" vertical="center" wrapText="1" indent="2"/>
    </xf>
    <xf numFmtId="0" fontId="9" fillId="0" borderId="4" xfId="0" applyFont="1" applyBorder="1" applyAlignment="1">
      <alignment horizontal="left" vertical="center" wrapText="1" indent="2"/>
    </xf>
    <xf numFmtId="0" fontId="9" fillId="0" borderId="4" xfId="0" applyFont="1" applyBorder="1" applyAlignment="1">
      <alignment horizontal="left" vertical="top" wrapText="1" indent="4"/>
    </xf>
  </cellXfs>
  <cellStyles count="2">
    <cellStyle name="40% - Accent3" xfId="1" builtinId="39"/>
    <cellStyle name="Normal" xfId="0" builtinId="0"/>
  </cellStyles>
  <dxfs count="9">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alignment horizontal="center" vertical="center" textRotation="0" wrapText="0" indent="0" justifyLastLine="0" shrinkToFit="0" readingOrder="0"/>
      <protection locked="0" hidden="0"/>
    </dxf>
    <dxf>
      <protection locked="0" hidden="0"/>
    </dxf>
    <dxf>
      <numFmt numFmtId="0" formatCode="General"/>
      <protection locked="1" hidden="0"/>
    </dxf>
    <dxf>
      <alignment horizontal="general" vertical="bottom" textRotation="0" wrapText="1" indent="0" justifyLastLine="0" shrinkToFit="0" readingOrder="0"/>
      <protection locked="0" hidden="0"/>
    </dxf>
    <dxf>
      <numFmt numFmtId="0" formatCode="General"/>
      <alignment horizontal="center" vertical="center" textRotation="0" wrapText="0" indent="0" justifyLastLine="0" shrinkToFit="0" readingOrder="0"/>
      <protection locked="1" hidden="0"/>
    </dxf>
    <dxf>
      <protection locked="0" hidden="0"/>
    </dxf>
    <dxf>
      <protection locked="0" hidden="0"/>
    </dxf>
  </dxfs>
  <tableStyles count="0" defaultTableStyle="TableStyleMedium2" defaultPivotStyle="PivotStyleLight16"/>
  <colors>
    <mruColors>
      <color rgb="FFA3FFA3"/>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Radio" firstButton="1" fmlaLink="$K$6"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Radio" checked="Checked"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205740</xdr:colOff>
          <xdr:row>3</xdr:row>
          <xdr:rowOff>99060</xdr:rowOff>
        </xdr:from>
        <xdr:to>
          <xdr:col>15</xdr:col>
          <xdr:colOff>373380</xdr:colOff>
          <xdr:row>5</xdr:row>
          <xdr:rowOff>22860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0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0</xdr:row>
          <xdr:rowOff>327660</xdr:rowOff>
        </xdr:from>
        <xdr:to>
          <xdr:col>15</xdr:col>
          <xdr:colOff>381000</xdr:colOff>
          <xdr:row>2</xdr:row>
          <xdr:rowOff>114300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000-000002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xdr:colOff>
          <xdr:row>6</xdr:row>
          <xdr:rowOff>114300</xdr:rowOff>
        </xdr:from>
        <xdr:to>
          <xdr:col>15</xdr:col>
          <xdr:colOff>350520</xdr:colOff>
          <xdr:row>7</xdr:row>
          <xdr:rowOff>480060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000-000004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571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205740</xdr:colOff>
          <xdr:row>3</xdr:row>
          <xdr:rowOff>99060</xdr:rowOff>
        </xdr:from>
        <xdr:to>
          <xdr:col>15</xdr:col>
          <xdr:colOff>373380</xdr:colOff>
          <xdr:row>5</xdr:row>
          <xdr:rowOff>22860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1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0</xdr:row>
          <xdr:rowOff>327660</xdr:rowOff>
        </xdr:from>
        <xdr:to>
          <xdr:col>15</xdr:col>
          <xdr:colOff>381000</xdr:colOff>
          <xdr:row>2</xdr:row>
          <xdr:rowOff>114300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100-000003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xdr:colOff>
          <xdr:row>6</xdr:row>
          <xdr:rowOff>114300</xdr:rowOff>
        </xdr:from>
        <xdr:to>
          <xdr:col>15</xdr:col>
          <xdr:colOff>350520</xdr:colOff>
          <xdr:row>7</xdr:row>
          <xdr:rowOff>480060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100-000005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571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53340</xdr:colOff>
          <xdr:row>3</xdr:row>
          <xdr:rowOff>99060</xdr:rowOff>
        </xdr:from>
        <xdr:to>
          <xdr:col>15</xdr:col>
          <xdr:colOff>220980</xdr:colOff>
          <xdr:row>5</xdr:row>
          <xdr:rowOff>38100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289560</xdr:rowOff>
        </xdr:from>
        <xdr:to>
          <xdr:col>15</xdr:col>
          <xdr:colOff>236220</xdr:colOff>
          <xdr:row>2</xdr:row>
          <xdr:rowOff>76200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2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6</xdr:row>
          <xdr:rowOff>137160</xdr:rowOff>
        </xdr:from>
        <xdr:to>
          <xdr:col>15</xdr:col>
          <xdr:colOff>160020</xdr:colOff>
          <xdr:row>7</xdr:row>
          <xdr:rowOff>502920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200-000004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38100</xdr:colOff>
          <xdr:row>3</xdr:row>
          <xdr:rowOff>106680</xdr:rowOff>
        </xdr:from>
        <xdr:to>
          <xdr:col>15</xdr:col>
          <xdr:colOff>205740</xdr:colOff>
          <xdr:row>5</xdr:row>
          <xdr:rowOff>45720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3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30480</xdr:colOff>
          <xdr:row>0</xdr:row>
          <xdr:rowOff>289560</xdr:rowOff>
        </xdr:from>
        <xdr:to>
          <xdr:col>15</xdr:col>
          <xdr:colOff>228600</xdr:colOff>
          <xdr:row>2</xdr:row>
          <xdr:rowOff>76200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300-000002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6</xdr:row>
          <xdr:rowOff>106680</xdr:rowOff>
        </xdr:from>
        <xdr:to>
          <xdr:col>15</xdr:col>
          <xdr:colOff>182880</xdr:colOff>
          <xdr:row>7</xdr:row>
          <xdr:rowOff>472440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300-000004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60960</xdr:colOff>
          <xdr:row>3</xdr:row>
          <xdr:rowOff>76200</xdr:rowOff>
        </xdr:from>
        <xdr:to>
          <xdr:col>15</xdr:col>
          <xdr:colOff>304800</xdr:colOff>
          <xdr:row>5</xdr:row>
          <xdr:rowOff>15240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0</xdr:row>
          <xdr:rowOff>304800</xdr:rowOff>
        </xdr:from>
        <xdr:to>
          <xdr:col>15</xdr:col>
          <xdr:colOff>274320</xdr:colOff>
          <xdr:row>2</xdr:row>
          <xdr:rowOff>91440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400-000002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6</xdr:row>
          <xdr:rowOff>15240</xdr:rowOff>
        </xdr:from>
        <xdr:to>
          <xdr:col>15</xdr:col>
          <xdr:colOff>281940</xdr:colOff>
          <xdr:row>7</xdr:row>
          <xdr:rowOff>381000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400-000004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53340</xdr:colOff>
          <xdr:row>3</xdr:row>
          <xdr:rowOff>60960</xdr:rowOff>
        </xdr:from>
        <xdr:to>
          <xdr:col>15</xdr:col>
          <xdr:colOff>236220</xdr:colOff>
          <xdr:row>5</xdr:row>
          <xdr:rowOff>60960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5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0</xdr:row>
          <xdr:rowOff>213360</xdr:rowOff>
        </xdr:from>
        <xdr:to>
          <xdr:col>15</xdr:col>
          <xdr:colOff>251460</xdr:colOff>
          <xdr:row>2</xdr:row>
          <xdr:rowOff>76200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500-000002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6</xdr:row>
          <xdr:rowOff>60960</xdr:rowOff>
        </xdr:from>
        <xdr:to>
          <xdr:col>15</xdr:col>
          <xdr:colOff>236220</xdr:colOff>
          <xdr:row>7</xdr:row>
          <xdr:rowOff>426720</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0500-000004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22860</xdr:colOff>
          <xdr:row>3</xdr:row>
          <xdr:rowOff>60960</xdr:rowOff>
        </xdr:from>
        <xdr:to>
          <xdr:col>15</xdr:col>
          <xdr:colOff>205740</xdr:colOff>
          <xdr:row>5</xdr:row>
          <xdr:rowOff>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0</xdr:row>
          <xdr:rowOff>289560</xdr:rowOff>
        </xdr:from>
        <xdr:to>
          <xdr:col>15</xdr:col>
          <xdr:colOff>213360</xdr:colOff>
          <xdr:row>2</xdr:row>
          <xdr:rowOff>76200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6</xdr:row>
          <xdr:rowOff>60960</xdr:rowOff>
        </xdr:from>
        <xdr:to>
          <xdr:col>16</xdr:col>
          <xdr:colOff>0</xdr:colOff>
          <xdr:row>7</xdr:row>
          <xdr:rowOff>426720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163737</xdr:colOff>
      <xdr:row>0</xdr:row>
      <xdr:rowOff>25400</xdr:rowOff>
    </xdr:from>
    <xdr:to>
      <xdr:col>8</xdr:col>
      <xdr:colOff>194732</xdr:colOff>
      <xdr:row>2</xdr:row>
      <xdr:rowOff>221343</xdr:rowOff>
    </xdr:to>
    <xdr:pic>
      <xdr:nvPicPr>
        <xdr:cNvPr id="2" name="Picture 1" descr="DMRA Logo">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93687" y="25400"/>
          <a:ext cx="1497845"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0</xdr:colOff>
          <xdr:row>4</xdr:row>
          <xdr:rowOff>38100</xdr:rowOff>
        </xdr:from>
        <xdr:to>
          <xdr:col>14</xdr:col>
          <xdr:colOff>198120</xdr:colOff>
          <xdr:row>6</xdr:row>
          <xdr:rowOff>76200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15240</xdr:rowOff>
        </xdr:from>
        <xdr:to>
          <xdr:col>14</xdr:col>
          <xdr:colOff>198120</xdr:colOff>
          <xdr:row>3</xdr:row>
          <xdr:rowOff>114300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700-000002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7</xdr:row>
          <xdr:rowOff>60960</xdr:rowOff>
        </xdr:from>
        <xdr:to>
          <xdr:col>14</xdr:col>
          <xdr:colOff>213360</xdr:colOff>
          <xdr:row>7</xdr:row>
          <xdr:rowOff>579120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700-000004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163737</xdr:colOff>
      <xdr:row>0</xdr:row>
      <xdr:rowOff>25400</xdr:rowOff>
    </xdr:from>
    <xdr:to>
      <xdr:col>8</xdr:col>
      <xdr:colOff>194732</xdr:colOff>
      <xdr:row>2</xdr:row>
      <xdr:rowOff>221343</xdr:rowOff>
    </xdr:to>
    <xdr:pic>
      <xdr:nvPicPr>
        <xdr:cNvPr id="2" name="Picture 1" descr="DMRA Logo">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95137" y="25400"/>
          <a:ext cx="1351795" cy="966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38100</xdr:colOff>
          <xdr:row>4</xdr:row>
          <xdr:rowOff>38100</xdr:rowOff>
        </xdr:from>
        <xdr:to>
          <xdr:col>14</xdr:col>
          <xdr:colOff>259080</xdr:colOff>
          <xdr:row>6</xdr:row>
          <xdr:rowOff>76200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xdr:row>
          <xdr:rowOff>15240</xdr:rowOff>
        </xdr:from>
        <xdr:to>
          <xdr:col>14</xdr:col>
          <xdr:colOff>236220</xdr:colOff>
          <xdr:row>3</xdr:row>
          <xdr:rowOff>114300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7</xdr:row>
          <xdr:rowOff>99060</xdr:rowOff>
        </xdr:from>
        <xdr:to>
          <xdr:col>14</xdr:col>
          <xdr:colOff>281940</xdr:colOff>
          <xdr:row>7</xdr:row>
          <xdr:rowOff>617220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800-000004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08778" y="76200"/>
          <a:ext cx="1370421" cy="872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2</xdr:row>
          <xdr:rowOff>198120</xdr:rowOff>
        </xdr:from>
        <xdr:to>
          <xdr:col>14</xdr:col>
          <xdr:colOff>426720</xdr:colOff>
          <xdr:row>4</xdr:row>
          <xdr:rowOff>213360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14</xdr:col>
          <xdr:colOff>434340</xdr:colOff>
          <xdr:row>1</xdr:row>
          <xdr:rowOff>213360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9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281940</xdr:colOff>
          <xdr:row>6</xdr:row>
          <xdr:rowOff>99060</xdr:rowOff>
        </xdr:from>
        <xdr:to>
          <xdr:col>14</xdr:col>
          <xdr:colOff>525780</xdr:colOff>
          <xdr:row>7</xdr:row>
          <xdr:rowOff>464820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900-000004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07328" y="76200"/>
          <a:ext cx="1516471" cy="86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3</xdr:row>
          <xdr:rowOff>0</xdr:rowOff>
        </xdr:from>
        <xdr:to>
          <xdr:col>15</xdr:col>
          <xdr:colOff>68580</xdr:colOff>
          <xdr:row>4</xdr:row>
          <xdr:rowOff>213360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15</xdr:col>
          <xdr:colOff>45720</xdr:colOff>
          <xdr:row>2</xdr:row>
          <xdr:rowOff>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0A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297180</xdr:colOff>
          <xdr:row>6</xdr:row>
          <xdr:rowOff>129540</xdr:rowOff>
        </xdr:from>
        <xdr:to>
          <xdr:col>15</xdr:col>
          <xdr:colOff>45720</xdr:colOff>
          <xdr:row>7</xdr:row>
          <xdr:rowOff>495300</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00000000-0008-0000-0A00-000004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07328" y="76200"/>
          <a:ext cx="1516471" cy="86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2</xdr:row>
          <xdr:rowOff>198120</xdr:rowOff>
        </xdr:from>
        <xdr:to>
          <xdr:col>14</xdr:col>
          <xdr:colOff>426720</xdr:colOff>
          <xdr:row>4</xdr:row>
          <xdr:rowOff>213360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14</xdr:col>
          <xdr:colOff>434340</xdr:colOff>
          <xdr:row>1</xdr:row>
          <xdr:rowOff>213360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B00-000002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297180</xdr:colOff>
          <xdr:row>6</xdr:row>
          <xdr:rowOff>68580</xdr:rowOff>
        </xdr:from>
        <xdr:to>
          <xdr:col>14</xdr:col>
          <xdr:colOff>403860</xdr:colOff>
          <xdr:row>7</xdr:row>
          <xdr:rowOff>434340</xdr:rowOff>
        </xdr:to>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0B00-000006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07328" y="76200"/>
          <a:ext cx="1516471" cy="86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2</xdr:row>
          <xdr:rowOff>198120</xdr:rowOff>
        </xdr:from>
        <xdr:to>
          <xdr:col>14</xdr:col>
          <xdr:colOff>426720</xdr:colOff>
          <xdr:row>4</xdr:row>
          <xdr:rowOff>213360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C00-000001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14</xdr:col>
          <xdr:colOff>434340</xdr:colOff>
          <xdr:row>1</xdr:row>
          <xdr:rowOff>213360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C00-000002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297180</xdr:colOff>
          <xdr:row>6</xdr:row>
          <xdr:rowOff>68580</xdr:rowOff>
        </xdr:from>
        <xdr:to>
          <xdr:col>14</xdr:col>
          <xdr:colOff>403860</xdr:colOff>
          <xdr:row>7</xdr:row>
          <xdr:rowOff>434340</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0C00-000004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07328" y="76200"/>
          <a:ext cx="1516471" cy="86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6</xdr:row>
          <xdr:rowOff>15240</xdr:rowOff>
        </xdr:from>
        <xdr:to>
          <xdr:col>14</xdr:col>
          <xdr:colOff>525780</xdr:colOff>
          <xdr:row>7</xdr:row>
          <xdr:rowOff>297180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D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3</xdr:row>
          <xdr:rowOff>22860</xdr:rowOff>
        </xdr:from>
        <xdr:to>
          <xdr:col>14</xdr:col>
          <xdr:colOff>502920</xdr:colOff>
          <xdr:row>5</xdr:row>
          <xdr:rowOff>15240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D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7</xdr:row>
          <xdr:rowOff>472440</xdr:rowOff>
        </xdr:from>
        <xdr:to>
          <xdr:col>15</xdr:col>
          <xdr:colOff>7620</xdr:colOff>
          <xdr:row>7</xdr:row>
          <xdr:rowOff>990600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D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5</xdr:col>
      <xdr:colOff>41819</xdr:colOff>
      <xdr:row>0</xdr:row>
      <xdr:rowOff>10438</xdr:rowOff>
    </xdr:from>
    <xdr:to>
      <xdr:col>5</xdr:col>
      <xdr:colOff>1162595</xdr:colOff>
      <xdr:row>2</xdr:row>
      <xdr:rowOff>206381</xdr:rowOff>
    </xdr:to>
    <xdr:pic>
      <xdr:nvPicPr>
        <xdr:cNvPr id="2" name="Picture 1" descr="DMRA Logo">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66594" y="10438"/>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205740</xdr:colOff>
          <xdr:row>6</xdr:row>
          <xdr:rowOff>7620</xdr:rowOff>
        </xdr:from>
        <xdr:to>
          <xdr:col>13</xdr:col>
          <xdr:colOff>426720</xdr:colOff>
          <xdr:row>7</xdr:row>
          <xdr:rowOff>289560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E00-000004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205740</xdr:colOff>
          <xdr:row>3</xdr:row>
          <xdr:rowOff>15240</xdr:rowOff>
        </xdr:from>
        <xdr:to>
          <xdr:col>13</xdr:col>
          <xdr:colOff>403860</xdr:colOff>
          <xdr:row>5</xdr:row>
          <xdr:rowOff>7620</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E00-000005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205740</xdr:colOff>
          <xdr:row>7</xdr:row>
          <xdr:rowOff>464820</xdr:rowOff>
        </xdr:from>
        <xdr:to>
          <xdr:col>13</xdr:col>
          <xdr:colOff>449580</xdr:colOff>
          <xdr:row>9</xdr:row>
          <xdr:rowOff>53340</xdr:rowOff>
        </xdr:to>
        <xdr:sp macro="" textlink="">
          <xdr:nvSpPr>
            <xdr:cNvPr id="48134" name="Button 6" hidden="1">
              <a:extLst>
                <a:ext uri="{63B3BB69-23CF-44E3-9099-C40C66FF867C}">
                  <a14:compatExt spid="_x0000_s48134"/>
                </a:ext>
                <a:ext uri="{FF2B5EF4-FFF2-40B4-BE49-F238E27FC236}">
                  <a16:creationId xmlns:a16="http://schemas.microsoft.com/office/drawing/2014/main" id="{00000000-0008-0000-0E00-000006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5</xdr:col>
      <xdr:colOff>41819</xdr:colOff>
      <xdr:row>0</xdr:row>
      <xdr:rowOff>10438</xdr:rowOff>
    </xdr:from>
    <xdr:to>
      <xdr:col>5</xdr:col>
      <xdr:colOff>1162595</xdr:colOff>
      <xdr:row>2</xdr:row>
      <xdr:rowOff>206381</xdr:rowOff>
    </xdr:to>
    <xdr:pic>
      <xdr:nvPicPr>
        <xdr:cNvPr id="2" name="Picture 1" descr="DMRA Logo">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3764" y="10438"/>
          <a:ext cx="1120776" cy="968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22860</xdr:colOff>
          <xdr:row>6</xdr:row>
          <xdr:rowOff>7620</xdr:rowOff>
        </xdr:from>
        <xdr:to>
          <xdr:col>14</xdr:col>
          <xdr:colOff>243840</xdr:colOff>
          <xdr:row>7</xdr:row>
          <xdr:rowOff>289560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F00-000004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15240</xdr:rowOff>
        </xdr:from>
        <xdr:to>
          <xdr:col>14</xdr:col>
          <xdr:colOff>220980</xdr:colOff>
          <xdr:row>5</xdr:row>
          <xdr:rowOff>7620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F00-000005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7</xdr:row>
          <xdr:rowOff>464820</xdr:rowOff>
        </xdr:from>
        <xdr:to>
          <xdr:col>14</xdr:col>
          <xdr:colOff>266700</xdr:colOff>
          <xdr:row>9</xdr:row>
          <xdr:rowOff>53340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F00-000006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125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411480</xdr:colOff>
          <xdr:row>6</xdr:row>
          <xdr:rowOff>7620</xdr:rowOff>
        </xdr:from>
        <xdr:to>
          <xdr:col>14</xdr:col>
          <xdr:colOff>91440</xdr:colOff>
          <xdr:row>7</xdr:row>
          <xdr:rowOff>289560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1000-000004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411480</xdr:colOff>
          <xdr:row>3</xdr:row>
          <xdr:rowOff>15240</xdr:rowOff>
        </xdr:from>
        <xdr:to>
          <xdr:col>14</xdr:col>
          <xdr:colOff>68580</xdr:colOff>
          <xdr:row>5</xdr:row>
          <xdr:rowOff>7620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1000-000005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411480</xdr:colOff>
          <xdr:row>8</xdr:row>
          <xdr:rowOff>7620</xdr:rowOff>
        </xdr:from>
        <xdr:to>
          <xdr:col>14</xdr:col>
          <xdr:colOff>114300</xdr:colOff>
          <xdr:row>9</xdr:row>
          <xdr:rowOff>175260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1000-000006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5897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236220</xdr:colOff>
          <xdr:row>6</xdr:row>
          <xdr:rowOff>7620</xdr:rowOff>
        </xdr:from>
        <xdr:to>
          <xdr:col>13</xdr:col>
          <xdr:colOff>457200</xdr:colOff>
          <xdr:row>7</xdr:row>
          <xdr:rowOff>289560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1100-000004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236220</xdr:colOff>
          <xdr:row>3</xdr:row>
          <xdr:rowOff>15240</xdr:rowOff>
        </xdr:from>
        <xdr:to>
          <xdr:col>13</xdr:col>
          <xdr:colOff>434340</xdr:colOff>
          <xdr:row>5</xdr:row>
          <xdr:rowOff>7620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1100-000005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236220</xdr:colOff>
          <xdr:row>8</xdr:row>
          <xdr:rowOff>7620</xdr:rowOff>
        </xdr:from>
        <xdr:to>
          <xdr:col>13</xdr:col>
          <xdr:colOff>480060</xdr:colOff>
          <xdr:row>9</xdr:row>
          <xdr:rowOff>175260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1100-000006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5897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350520</xdr:colOff>
          <xdr:row>5</xdr:row>
          <xdr:rowOff>106680</xdr:rowOff>
        </xdr:from>
        <xdr:to>
          <xdr:col>14</xdr:col>
          <xdr:colOff>30480</xdr:colOff>
          <xdr:row>7</xdr:row>
          <xdr:rowOff>236220</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00000000-0008-0000-1200-000004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350520</xdr:colOff>
          <xdr:row>2</xdr:row>
          <xdr:rowOff>144780</xdr:rowOff>
        </xdr:from>
        <xdr:to>
          <xdr:col>14</xdr:col>
          <xdr:colOff>7620</xdr:colOff>
          <xdr:row>4</xdr:row>
          <xdr:rowOff>198120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1200-000005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350520</xdr:colOff>
          <xdr:row>7</xdr:row>
          <xdr:rowOff>411480</xdr:rowOff>
        </xdr:from>
        <xdr:to>
          <xdr:col>14</xdr:col>
          <xdr:colOff>53340</xdr:colOff>
          <xdr:row>8</xdr:row>
          <xdr:rowOff>114300</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1200-000006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5897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60960</xdr:colOff>
          <xdr:row>4</xdr:row>
          <xdr:rowOff>38100</xdr:rowOff>
        </xdr:from>
        <xdr:to>
          <xdr:col>13</xdr:col>
          <xdr:colOff>281940</xdr:colOff>
          <xdr:row>6</xdr:row>
          <xdr:rowOff>76200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1300-000004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60960</xdr:colOff>
          <xdr:row>1</xdr:row>
          <xdr:rowOff>15240</xdr:rowOff>
        </xdr:from>
        <xdr:to>
          <xdr:col>13</xdr:col>
          <xdr:colOff>259080</xdr:colOff>
          <xdr:row>3</xdr:row>
          <xdr:rowOff>114300</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00000000-0008-0000-1300-000005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60960</xdr:colOff>
          <xdr:row>7</xdr:row>
          <xdr:rowOff>99060</xdr:rowOff>
        </xdr:from>
        <xdr:to>
          <xdr:col>13</xdr:col>
          <xdr:colOff>304800</xdr:colOff>
          <xdr:row>8</xdr:row>
          <xdr:rowOff>83820</xdr:rowOff>
        </xdr:to>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1300-000006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152400</xdr:rowOff>
    </xdr:from>
    <xdr:to>
      <xdr:col>14</xdr:col>
      <xdr:colOff>7620</xdr:colOff>
      <xdr:row>0</xdr:row>
      <xdr:rowOff>1181100</xdr:rowOff>
    </xdr:to>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0" y="152400"/>
          <a:ext cx="14089380"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DELHI</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METRO  RAIL  CORPORATION  ACADEMY  (  DMRA  )</a:t>
          </a:r>
        </a:p>
        <a:p>
          <a:pPr algn="ctr"/>
          <a:r>
            <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Schedule</a:t>
          </a: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Work Place,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213360</xdr:colOff>
      <xdr:row>0</xdr:row>
      <xdr:rowOff>190500</xdr:rowOff>
    </xdr:from>
    <xdr:to>
      <xdr:col>1</xdr:col>
      <xdr:colOff>92076</xdr:colOff>
      <xdr:row>0</xdr:row>
      <xdr:rowOff>1161143</xdr:rowOff>
    </xdr:to>
    <xdr:pic>
      <xdr:nvPicPr>
        <xdr:cNvPr id="2" name="Picture 1" descr="DMRA Logo">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9050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411480</xdr:colOff>
      <xdr:row>0</xdr:row>
      <xdr:rowOff>182880</xdr:rowOff>
    </xdr:from>
    <xdr:to>
      <xdr:col>13</xdr:col>
      <xdr:colOff>259716</xdr:colOff>
      <xdr:row>0</xdr:row>
      <xdr:rowOff>1153523</xdr:rowOff>
    </xdr:to>
    <xdr:pic>
      <xdr:nvPicPr>
        <xdr:cNvPr id="3" name="Picture 2" descr="DMRA Logo">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86360" y="18288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5</xdr:col>
          <xdr:colOff>601980</xdr:colOff>
          <xdr:row>2</xdr:row>
          <xdr:rowOff>0</xdr:rowOff>
        </xdr:from>
        <xdr:to>
          <xdr:col>8</xdr:col>
          <xdr:colOff>137160</xdr:colOff>
          <xdr:row>3</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1400-000002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600" b="1" i="0" u="sng" strike="noStrike" baseline="30000">
                  <a:solidFill>
                    <a:srgbClr val="000000"/>
                  </a:solidFill>
                  <a:latin typeface="Aptos Narrow"/>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0</xdr:row>
          <xdr:rowOff>1493520</xdr:rowOff>
        </xdr:from>
        <xdr:to>
          <xdr:col>14</xdr:col>
          <xdr:colOff>312420</xdr:colOff>
          <xdr:row>3</xdr:row>
          <xdr:rowOff>99060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14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2</xdr:row>
          <xdr:rowOff>137160</xdr:rowOff>
        </xdr:from>
        <xdr:to>
          <xdr:col>14</xdr:col>
          <xdr:colOff>91440</xdr:colOff>
          <xdr:row>4</xdr:row>
          <xdr:rowOff>60960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14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xdr:row>
          <xdr:rowOff>106680</xdr:rowOff>
        </xdr:from>
        <xdr:to>
          <xdr:col>14</xdr:col>
          <xdr:colOff>198120</xdr:colOff>
          <xdr:row>5</xdr:row>
          <xdr:rowOff>175260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14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T3</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601980</xdr:colOff>
          <xdr:row>4</xdr:row>
          <xdr:rowOff>91440</xdr:rowOff>
        </xdr:from>
        <xdr:to>
          <xdr:col>8</xdr:col>
          <xdr:colOff>137160</xdr:colOff>
          <xdr:row>5</xdr:row>
          <xdr:rowOff>182880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1400-000009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600" b="1" i="0" u="sng" strike="noStrike" baseline="30000">
                  <a:solidFill>
                    <a:srgbClr val="000000"/>
                  </a:solidFill>
                  <a:latin typeface="Aptos Narrow"/>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1150620</xdr:colOff>
          <xdr:row>2</xdr:row>
          <xdr:rowOff>0</xdr:rowOff>
        </xdr:from>
        <xdr:to>
          <xdr:col>10</xdr:col>
          <xdr:colOff>472440</xdr:colOff>
          <xdr:row>3</xdr:row>
          <xdr:rowOff>106680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14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1158240</xdr:colOff>
          <xdr:row>4</xdr:row>
          <xdr:rowOff>53340</xdr:rowOff>
        </xdr:from>
        <xdr:to>
          <xdr:col>10</xdr:col>
          <xdr:colOff>480060</xdr:colOff>
          <xdr:row>5</xdr:row>
          <xdr:rowOff>144780</xdr:rowOff>
        </xdr:to>
        <xdr:sp macro="" textlink="">
          <xdr:nvSpPr>
            <xdr:cNvPr id="1603" name="Button 579" hidden="1">
              <a:extLst>
                <a:ext uri="{63B3BB69-23CF-44E3-9099-C40C66FF867C}">
                  <a14:compatExt spid="_x0000_s1603"/>
                </a:ext>
                <a:ext uri="{FF2B5EF4-FFF2-40B4-BE49-F238E27FC236}">
                  <a16:creationId xmlns:a16="http://schemas.microsoft.com/office/drawing/2014/main" id="{00000000-0008-0000-14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5</xdr:row>
          <xdr:rowOff>175260</xdr:rowOff>
        </xdr:from>
        <xdr:to>
          <xdr:col>14</xdr:col>
          <xdr:colOff>121920</xdr:colOff>
          <xdr:row>6</xdr:row>
          <xdr:rowOff>106680</xdr:rowOff>
        </xdr:to>
        <xdr:sp macro="" textlink="">
          <xdr:nvSpPr>
            <xdr:cNvPr id="1607" name="Option Button 583" hidden="1">
              <a:extLst>
                <a:ext uri="{63B3BB69-23CF-44E3-9099-C40C66FF867C}">
                  <a14:compatExt spid="_x0000_s1607"/>
                </a:ext>
                <a:ext uri="{FF2B5EF4-FFF2-40B4-BE49-F238E27FC236}">
                  <a16:creationId xmlns:a16="http://schemas.microsoft.com/office/drawing/2014/main" id="{00000000-0008-0000-1400-00004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T4</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30480</xdr:colOff>
      <xdr:row>0</xdr:row>
      <xdr:rowOff>152400</xdr:rowOff>
    </xdr:from>
    <xdr:to>
      <xdr:col>12</xdr:col>
      <xdr:colOff>266700</xdr:colOff>
      <xdr:row>0</xdr:row>
      <xdr:rowOff>1181100</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30480" y="152400"/>
          <a:ext cx="14150340"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none"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a:t>
          </a: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MRC ACADEMY</a:t>
          </a:r>
        </a:p>
        <a:p>
          <a:pPr algn="ct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Home Page,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40823</xdr:colOff>
      <xdr:row>0</xdr:row>
      <xdr:rowOff>183914</xdr:rowOff>
    </xdr:from>
    <xdr:to>
      <xdr:col>0</xdr:col>
      <xdr:colOff>1238251</xdr:colOff>
      <xdr:row>0</xdr:row>
      <xdr:rowOff>1156607</xdr:rowOff>
    </xdr:to>
    <xdr:pic>
      <xdr:nvPicPr>
        <xdr:cNvPr id="5" name="Picture 1">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23" y="183914"/>
          <a:ext cx="1197428" cy="9726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561148</xdr:colOff>
      <xdr:row>0</xdr:row>
      <xdr:rowOff>167172</xdr:rowOff>
    </xdr:from>
    <xdr:to>
      <xdr:col>12</xdr:col>
      <xdr:colOff>231322</xdr:colOff>
      <xdr:row>0</xdr:row>
      <xdr:rowOff>1159328</xdr:rowOff>
    </xdr:to>
    <xdr:pic>
      <xdr:nvPicPr>
        <xdr:cNvPr id="6" name="Picture 1">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052755" y="167172"/>
          <a:ext cx="1221388" cy="9921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830580</xdr:colOff>
          <xdr:row>2</xdr:row>
          <xdr:rowOff>7620</xdr:rowOff>
        </xdr:from>
        <xdr:to>
          <xdr:col>5</xdr:col>
          <xdr:colOff>426720</xdr:colOff>
          <xdr:row>3</xdr:row>
          <xdr:rowOff>137160</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00000000-0008-0000-1500-0000068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600" b="1" i="0" u="sng" strike="noStrike" baseline="30000">
                  <a:solidFill>
                    <a:srgbClr val="000000"/>
                  </a:solidFill>
                  <a:latin typeface="Aptos Narrow"/>
                </a:rPr>
                <a:t>TOPIC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6</xdr:row>
          <xdr:rowOff>30480</xdr:rowOff>
        </xdr:from>
        <xdr:to>
          <xdr:col>0</xdr:col>
          <xdr:colOff>1348740</xdr:colOff>
          <xdr:row>8</xdr:row>
          <xdr:rowOff>13063</xdr:rowOff>
        </xdr:to>
        <xdr:sp macro="" textlink="">
          <xdr:nvSpPr>
            <xdr:cNvPr id="35847" name="Button 7" hidden="1">
              <a:extLst>
                <a:ext uri="{63B3BB69-23CF-44E3-9099-C40C66FF867C}">
                  <a14:compatExt spid="_x0000_s35847"/>
                </a:ext>
                <a:ext uri="{FF2B5EF4-FFF2-40B4-BE49-F238E27FC236}">
                  <a16:creationId xmlns:a16="http://schemas.microsoft.com/office/drawing/2014/main" id="{00000000-0008-0000-1500-000007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2</xdr:row>
          <xdr:rowOff>53340</xdr:rowOff>
        </xdr:from>
        <xdr:to>
          <xdr:col>0</xdr:col>
          <xdr:colOff>1310640</xdr:colOff>
          <xdr:row>4</xdr:row>
          <xdr:rowOff>0</xdr:rowOff>
        </xdr:to>
        <xdr:sp macro="" textlink="">
          <xdr:nvSpPr>
            <xdr:cNvPr id="35849" name="Button 9" hidden="1">
              <a:extLst>
                <a:ext uri="{63B3BB69-23CF-44E3-9099-C40C66FF867C}">
                  <a14:compatExt spid="_x0000_s35849"/>
                </a:ext>
                <a:ext uri="{FF2B5EF4-FFF2-40B4-BE49-F238E27FC236}">
                  <a16:creationId xmlns:a16="http://schemas.microsoft.com/office/drawing/2014/main" id="{00000000-0008-0000-1500-00000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UPLOAD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777240</xdr:colOff>
          <xdr:row>6</xdr:row>
          <xdr:rowOff>15240</xdr:rowOff>
        </xdr:from>
        <xdr:to>
          <xdr:col>5</xdr:col>
          <xdr:colOff>373380</xdr:colOff>
          <xdr:row>7</xdr:row>
          <xdr:rowOff>182880</xdr:rowOff>
        </xdr:to>
        <xdr:sp macro="" textlink="">
          <xdr:nvSpPr>
            <xdr:cNvPr id="35852" name="Button 12" hidden="1">
              <a:extLst>
                <a:ext uri="{63B3BB69-23CF-44E3-9099-C40C66FF867C}">
                  <a14:compatExt spid="_x0000_s35852"/>
                </a:ext>
                <a:ext uri="{FF2B5EF4-FFF2-40B4-BE49-F238E27FC236}">
                  <a16:creationId xmlns:a16="http://schemas.microsoft.com/office/drawing/2014/main" id="{00000000-0008-0000-1500-00000C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TEACHER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38100</xdr:rowOff>
        </xdr:from>
        <xdr:to>
          <xdr:col>12</xdr:col>
          <xdr:colOff>68580</xdr:colOff>
          <xdr:row>5</xdr:row>
          <xdr:rowOff>144780</xdr:rowOff>
        </xdr:to>
        <xdr:sp macro="" textlink="">
          <xdr:nvSpPr>
            <xdr:cNvPr id="35853" name="Button 13" hidden="1">
              <a:extLst>
                <a:ext uri="{63B3BB69-23CF-44E3-9099-C40C66FF867C}">
                  <a14:compatExt spid="_x0000_s35853"/>
                </a:ext>
                <a:ext uri="{FF2B5EF4-FFF2-40B4-BE49-F238E27FC236}">
                  <a16:creationId xmlns:a16="http://schemas.microsoft.com/office/drawing/2014/main" id="{00000000-0008-0000-1500-00000D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807720</xdr:colOff>
          <xdr:row>10</xdr:row>
          <xdr:rowOff>175260</xdr:rowOff>
        </xdr:from>
        <xdr:to>
          <xdr:col>5</xdr:col>
          <xdr:colOff>358140</xdr:colOff>
          <xdr:row>12</xdr:row>
          <xdr:rowOff>106680</xdr:rowOff>
        </xdr:to>
        <xdr:sp macro="" textlink="">
          <xdr:nvSpPr>
            <xdr:cNvPr id="35855" name="Button 15" hidden="1">
              <a:extLst>
                <a:ext uri="{63B3BB69-23CF-44E3-9099-C40C66FF867C}">
                  <a14:compatExt spid="_x0000_s35855"/>
                </a:ext>
                <a:ext uri="{FF2B5EF4-FFF2-40B4-BE49-F238E27FC236}">
                  <a16:creationId xmlns:a16="http://schemas.microsoft.com/office/drawing/2014/main" id="{00000000-0008-0000-1500-00000F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TOPIC COMPLETED</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oneCellAnchor>
    <xdr:from>
      <xdr:col>3</xdr:col>
      <xdr:colOff>73406</xdr:colOff>
      <xdr:row>0</xdr:row>
      <xdr:rowOff>0</xdr:rowOff>
    </xdr:from>
    <xdr:ext cx="9525" cy="245745"/>
    <xdr:sp macro="" textlink="">
      <xdr:nvSpPr>
        <xdr:cNvPr id="2" name="Shape 2">
          <a:extLst>
            <a:ext uri="{FF2B5EF4-FFF2-40B4-BE49-F238E27FC236}">
              <a16:creationId xmlns:a16="http://schemas.microsoft.com/office/drawing/2014/main" id="{00000000-0008-0000-1600-000002000000}"/>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oneCellAnchor>
    <xdr:from>
      <xdr:col>2</xdr:col>
      <xdr:colOff>73406</xdr:colOff>
      <xdr:row>0</xdr:row>
      <xdr:rowOff>0</xdr:rowOff>
    </xdr:from>
    <xdr:ext cx="9525" cy="245745"/>
    <xdr:sp macro="" textlink="">
      <xdr:nvSpPr>
        <xdr:cNvPr id="3" name="Shape 2">
          <a:extLst>
            <a:ext uri="{FF2B5EF4-FFF2-40B4-BE49-F238E27FC236}">
              <a16:creationId xmlns:a16="http://schemas.microsoft.com/office/drawing/2014/main" id="{00000000-0008-0000-1600-000003000000}"/>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oneCellAnchor>
    <xdr:from>
      <xdr:col>2</xdr:col>
      <xdr:colOff>73406</xdr:colOff>
      <xdr:row>0</xdr:row>
      <xdr:rowOff>0</xdr:rowOff>
    </xdr:from>
    <xdr:ext cx="9525" cy="245745"/>
    <xdr:sp macro="" textlink="">
      <xdr:nvSpPr>
        <xdr:cNvPr id="4" name="Shape 2">
          <a:extLst>
            <a:ext uri="{FF2B5EF4-FFF2-40B4-BE49-F238E27FC236}">
              <a16:creationId xmlns:a16="http://schemas.microsoft.com/office/drawing/2014/main" id="{00000000-0008-0000-1600-000004000000}"/>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mc:AlternateContent xmlns:mc="http://schemas.openxmlformats.org/markup-compatibility/2006">
    <mc:Choice xmlns:a14="http://schemas.microsoft.com/office/drawing/2010/main" Requires="a14">
      <xdr:twoCellAnchor editAs="absolute">
        <xdr:from>
          <xdr:col>11</xdr:col>
          <xdr:colOff>289560</xdr:colOff>
          <xdr:row>0</xdr:row>
          <xdr:rowOff>259080</xdr:rowOff>
        </xdr:from>
        <xdr:to>
          <xdr:col>13</xdr:col>
          <xdr:colOff>434340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16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304800</xdr:colOff>
          <xdr:row>2</xdr:row>
          <xdr:rowOff>0</xdr:rowOff>
        </xdr:from>
        <xdr:to>
          <xdr:col>13</xdr:col>
          <xdr:colOff>441960</xdr:colOff>
          <xdr:row>2</xdr:row>
          <xdr:rowOff>213360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16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PREPARE_SOURCE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D58" totalsRowShown="0" headerRowDxfId="8" dataDxfId="7">
  <autoFilter ref="A2:D58" xr:uid="{00000000-0009-0000-0100-000001000000}"/>
  <tableColumns count="4">
    <tableColumn id="1" xr3:uid="{00000000-0010-0000-0000-000001000000}" name="SNO." dataDxfId="6">
      <calculatedColumnFormula array="1">IF(Table1[[#This Row],[TOPIC LIST]]="","",INT((ROW()-3)/WORK_PLACE!$I$2+1) &amp; INDEX({"I","II","III","IV","V","VI","VII","VIII","IX","X"}, MOD(ROW()-3, WORK_PLACE!$I$2)+1))</calculatedColumnFormula>
    </tableColumn>
    <tableColumn id="2" xr3:uid="{00000000-0010-0000-0000-000002000000}" name="TOPIC LIST" dataDxfId="5"/>
    <tableColumn id="3" xr3:uid="{00000000-0010-0000-0000-000003000000}" name="TEACHER NAME" dataDxfId="4">
      <calculatedColumnFormula>IFERROR(
    IF(D3=0,
        IF($K$6=1,VLOOKUP(B3,SOURCE!$D$1:$I$2329,3,0),
        IF($K$6=2,VLOOKUP(B3,SOURCE!$D$1:$I$2329,4,0),
        IF($K$6=3,VLOOKUP(B3,SOURCE!$D$1:$I$2329,5,0),
        VLOOKUP(B3,SOURCE!$D$1:$I$2329,6,0)))),
    IF(D3=1,VLOOKUP(B3,SOURCE!$D$1:$I$2329,3,0),
    IF(D3=2,VLOOKUP(B3,SOURCE!$D$1:$I$2329,4,0),
    IF(D3=3,VLOOKUP(B3,SOURCE!$D$1:$I$2329,5,0),
    VLOOKUP(B3,SOURCE!$D$1:$I$2329,6,0))))),
"")</calculatedColumnFormula>
    </tableColumn>
    <tableColumn id="4" xr3:uid="{00000000-0010-0000-0000-000004000000}" name="STAFF CODE" dataDxfId="3"/>
  </tableColumns>
  <tableStyleInfo name="TableStyleMedium2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C2:C58" totalsRowShown="0" headerRowDxfId="2" dataDxfId="1">
  <autoFilter ref="C2:C58" xr:uid="{00000000-0009-0000-0100-000004000000}"/>
  <tableColumns count="1">
    <tableColumn id="1" xr3:uid="{00000000-0010-0000-0100-000001000000}" name="SELECT THIS WEEK TOPICS" dataDxfId="0"/>
  </tableColumns>
  <tableStyleInfo name="TableStyleMedium2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64.xml"/><Relationship Id="rId13" Type="http://schemas.openxmlformats.org/officeDocument/2006/relationships/table" Target="../tables/table1.xml"/><Relationship Id="rId3" Type="http://schemas.openxmlformats.org/officeDocument/2006/relationships/vmlDrawing" Target="../drawings/vmlDrawing21.vml"/><Relationship Id="rId7" Type="http://schemas.openxmlformats.org/officeDocument/2006/relationships/ctrlProp" Target="../ctrlProps/ctrlProp63.xml"/><Relationship Id="rId12" Type="http://schemas.openxmlformats.org/officeDocument/2006/relationships/ctrlProp" Target="../ctrlProps/ctrlProp68.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2.xml"/><Relationship Id="rId11" Type="http://schemas.openxmlformats.org/officeDocument/2006/relationships/ctrlProp" Target="../ctrlProps/ctrlProp67.xml"/><Relationship Id="rId5" Type="http://schemas.openxmlformats.org/officeDocument/2006/relationships/ctrlProp" Target="../ctrlProps/ctrlProp61.xml"/><Relationship Id="rId10" Type="http://schemas.openxmlformats.org/officeDocument/2006/relationships/ctrlProp" Target="../ctrlProps/ctrlProp66.xml"/><Relationship Id="rId4" Type="http://schemas.openxmlformats.org/officeDocument/2006/relationships/image" Target="../media/image2.jpeg"/><Relationship Id="rId9" Type="http://schemas.openxmlformats.org/officeDocument/2006/relationships/ctrlProp" Target="../ctrlProps/ctrlProp6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vmlDrawing" Target="../drawings/vmlDrawing22.vml"/><Relationship Id="rId7" Type="http://schemas.openxmlformats.org/officeDocument/2006/relationships/ctrlProp" Target="../ctrlProps/ctrlProp71.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70.xml"/><Relationship Id="rId11" Type="http://schemas.openxmlformats.org/officeDocument/2006/relationships/table" Target="../tables/table2.xml"/><Relationship Id="rId5" Type="http://schemas.openxmlformats.org/officeDocument/2006/relationships/ctrlProp" Target="../ctrlProps/ctrlProp69.xml"/><Relationship Id="rId10" Type="http://schemas.openxmlformats.org/officeDocument/2006/relationships/ctrlProp" Target="../ctrlProps/ctrlProp74.xml"/><Relationship Id="rId4" Type="http://schemas.openxmlformats.org/officeDocument/2006/relationships/image" Target="../media/image3.png"/><Relationship Id="rId9" Type="http://schemas.openxmlformats.org/officeDocument/2006/relationships/ctrlProp" Target="../ctrlProps/ctrlProp7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J31"/>
  <sheetViews>
    <sheetView view="pageBreakPreview" zoomScale="60" workbookViewId="0">
      <selection activeCell="O14" sqref="O14"/>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24" t="s">
        <v>281</v>
      </c>
      <c r="B1" s="125"/>
      <c r="C1" s="126" t="s">
        <v>282</v>
      </c>
      <c r="D1" s="127"/>
      <c r="E1" s="127"/>
      <c r="F1" s="127"/>
      <c r="G1" s="127"/>
      <c r="H1" s="128"/>
      <c r="I1" s="56"/>
      <c r="J1" s="129"/>
    </row>
    <row r="2" spans="1:10" ht="18" customHeight="1">
      <c r="A2" s="124" t="s">
        <v>283</v>
      </c>
      <c r="B2" s="125"/>
      <c r="C2" s="132" t="s">
        <v>284</v>
      </c>
      <c r="D2" s="132"/>
      <c r="E2" s="132"/>
      <c r="F2" s="132"/>
      <c r="G2" s="132"/>
      <c r="H2" s="133"/>
      <c r="I2" s="56"/>
      <c r="J2" s="130"/>
    </row>
    <row r="3" spans="1:10" ht="18" customHeight="1">
      <c r="A3" s="124" t="s">
        <v>285</v>
      </c>
      <c r="B3" s="125"/>
      <c r="C3" s="132" t="s">
        <v>286</v>
      </c>
      <c r="D3" s="132"/>
      <c r="E3" s="132"/>
      <c r="F3" s="132"/>
      <c r="G3" s="132"/>
      <c r="H3" s="133"/>
      <c r="I3" s="56"/>
      <c r="J3" s="131"/>
    </row>
    <row r="4" spans="1:10" ht="23.4">
      <c r="A4" s="124" t="s">
        <v>287</v>
      </c>
      <c r="B4" s="125"/>
      <c r="C4" s="134" t="s">
        <v>288</v>
      </c>
      <c r="D4" s="135"/>
      <c r="E4" s="135"/>
      <c r="F4" s="135"/>
      <c r="G4" s="136"/>
      <c r="H4" s="57" t="s">
        <v>289</v>
      </c>
      <c r="I4" s="57" t="s">
        <v>321</v>
      </c>
      <c r="J4" s="58" t="str">
        <f>IF(WORK_PLACE2!$K$6=1,"T1",IF(WORK_PLACE2!$K$6=2,"T2","T3"))</f>
        <v>T3</v>
      </c>
    </row>
    <row r="5" spans="1:10" ht="24.6" customHeight="1">
      <c r="A5" s="137" t="s">
        <v>290</v>
      </c>
      <c r="B5" s="138"/>
      <c r="C5" s="139" t="s">
        <v>291</v>
      </c>
      <c r="D5" s="139"/>
      <c r="E5" s="140" t="s">
        <v>292</v>
      </c>
      <c r="F5" s="141"/>
      <c r="G5" s="142"/>
      <c r="H5" s="57" t="s">
        <v>293</v>
      </c>
      <c r="I5" s="57" t="s">
        <v>330</v>
      </c>
      <c r="J5" s="85">
        <f>WORK_PLACE2!$F$51</f>
        <v>0</v>
      </c>
    </row>
    <row r="6" spans="1:10" ht="15">
      <c r="A6" s="121" t="s">
        <v>294</v>
      </c>
      <c r="B6" s="121" t="s">
        <v>295</v>
      </c>
      <c r="C6" s="59" t="s">
        <v>331</v>
      </c>
      <c r="D6" s="59" t="s">
        <v>332</v>
      </c>
      <c r="E6" s="59" t="s">
        <v>333</v>
      </c>
      <c r="F6" s="59" t="s">
        <v>334</v>
      </c>
      <c r="G6" s="59" t="s">
        <v>335</v>
      </c>
      <c r="H6" s="59" t="s">
        <v>336</v>
      </c>
      <c r="I6" s="59" t="s">
        <v>337</v>
      </c>
      <c r="J6" s="60" t="s">
        <v>338</v>
      </c>
    </row>
    <row r="7" spans="1:10" ht="15.6">
      <c r="A7" s="122"/>
      <c r="B7" s="123"/>
      <c r="C7" s="61" t="s">
        <v>339</v>
      </c>
      <c r="D7" s="61" t="s">
        <v>340</v>
      </c>
      <c r="E7" s="61" t="s">
        <v>297</v>
      </c>
      <c r="F7" s="61" t="s">
        <v>298</v>
      </c>
      <c r="G7" s="61" t="s">
        <v>299</v>
      </c>
      <c r="H7" s="61" t="s">
        <v>341</v>
      </c>
      <c r="I7" s="61" t="s">
        <v>342</v>
      </c>
      <c r="J7" s="62" t="s">
        <v>343</v>
      </c>
    </row>
    <row r="8" spans="1:10" ht="210" customHeight="1">
      <c r="A8" s="143">
        <f>WORK_PLACE!I8</f>
        <v>45673</v>
      </c>
      <c r="B8" s="66">
        <v>1</v>
      </c>
      <c r="C8" s="83"/>
      <c r="D8" s="63"/>
      <c r="E8" s="63"/>
      <c r="F8" s="63"/>
      <c r="G8" s="63"/>
      <c r="H8" s="63"/>
      <c r="I8" s="64"/>
      <c r="J8" s="81"/>
    </row>
    <row r="9" spans="1:10" ht="30" customHeight="1">
      <c r="A9" s="144"/>
      <c r="B9" s="82"/>
      <c r="C9" s="63"/>
      <c r="D9" s="63"/>
      <c r="E9" s="63"/>
      <c r="F9" s="63"/>
      <c r="G9" s="63"/>
      <c r="H9" s="63"/>
      <c r="I9" s="64"/>
      <c r="J9" s="81"/>
    </row>
    <row r="10" spans="1:10" ht="15">
      <c r="A10" s="145">
        <f>A8+1</f>
        <v>45674</v>
      </c>
      <c r="B10" s="65">
        <v>2</v>
      </c>
      <c r="C10" s="63"/>
      <c r="D10" s="63"/>
      <c r="E10" s="63"/>
      <c r="F10" s="63"/>
      <c r="G10" s="63"/>
      <c r="H10" s="63"/>
      <c r="I10" s="64"/>
      <c r="J10" s="81"/>
    </row>
    <row r="11" spans="1:10" ht="15">
      <c r="A11" s="144"/>
      <c r="B11" s="65"/>
      <c r="C11" s="63"/>
      <c r="D11" s="63"/>
      <c r="E11" s="63"/>
      <c r="F11" s="63"/>
      <c r="G11" s="63"/>
      <c r="H11" s="63"/>
      <c r="I11" s="64"/>
      <c r="J11" s="81"/>
    </row>
    <row r="12" spans="1:10" ht="15">
      <c r="A12" s="145">
        <f>A8+2</f>
        <v>45675</v>
      </c>
      <c r="B12" s="65">
        <v>3</v>
      </c>
      <c r="C12" s="63"/>
      <c r="D12" s="63"/>
      <c r="E12" s="63"/>
      <c r="F12" s="63"/>
      <c r="G12" s="63"/>
      <c r="H12" s="63"/>
      <c r="I12" s="64"/>
      <c r="J12" s="81"/>
    </row>
    <row r="13" spans="1:10" ht="15">
      <c r="A13" s="122"/>
      <c r="B13" s="65"/>
      <c r="C13" s="63"/>
      <c r="D13" s="63"/>
      <c r="E13" s="63"/>
      <c r="F13" s="63"/>
      <c r="G13" s="63"/>
      <c r="H13" s="63"/>
      <c r="I13" s="64"/>
      <c r="J13" s="81"/>
    </row>
    <row r="14" spans="1:10" ht="15">
      <c r="A14" s="145">
        <f>A8+3</f>
        <v>45676</v>
      </c>
      <c r="B14" s="65">
        <v>4</v>
      </c>
      <c r="C14" s="63"/>
      <c r="D14" s="63"/>
      <c r="E14" s="63"/>
      <c r="F14" s="63"/>
      <c r="G14" s="63"/>
      <c r="H14" s="63"/>
      <c r="I14" s="64"/>
      <c r="J14" s="81"/>
    </row>
    <row r="15" spans="1:10" ht="15">
      <c r="A15" s="144"/>
      <c r="B15" s="65"/>
      <c r="C15" s="63"/>
      <c r="D15" s="63"/>
      <c r="E15" s="63"/>
      <c r="F15" s="63"/>
      <c r="G15" s="63"/>
      <c r="H15" s="63"/>
      <c r="I15" s="64"/>
      <c r="J15" s="81"/>
    </row>
    <row r="16" spans="1:10" ht="15">
      <c r="A16" s="145">
        <f t="shared" ref="A16" si="0">A10+3</f>
        <v>45677</v>
      </c>
      <c r="B16" s="65">
        <v>5</v>
      </c>
      <c r="C16" s="63"/>
      <c r="D16" s="63"/>
      <c r="E16" s="63"/>
      <c r="F16" s="63"/>
      <c r="G16" s="63"/>
      <c r="H16" s="63"/>
      <c r="I16" s="64"/>
      <c r="J16" s="81"/>
    </row>
    <row r="17" spans="1:10" ht="15">
      <c r="A17" s="144"/>
      <c r="B17" s="65"/>
      <c r="C17" s="63"/>
      <c r="D17" s="63"/>
      <c r="E17" s="63"/>
      <c r="F17" s="63"/>
      <c r="G17" s="63"/>
      <c r="H17" s="63"/>
      <c r="I17" s="64"/>
      <c r="J17" s="81"/>
    </row>
    <row r="18" spans="1:10" ht="15">
      <c r="A18" s="145">
        <f t="shared" ref="A18:A20" si="1">A10+3</f>
        <v>45677</v>
      </c>
      <c r="B18" s="65">
        <v>6</v>
      </c>
      <c r="C18" s="63"/>
      <c r="D18" s="63"/>
      <c r="E18" s="63"/>
      <c r="F18" s="63"/>
      <c r="G18" s="63"/>
      <c r="H18" s="63"/>
      <c r="I18" s="64"/>
      <c r="J18" s="81"/>
    </row>
    <row r="19" spans="1:10" ht="15">
      <c r="A19" s="144"/>
      <c r="B19" s="65"/>
      <c r="C19" s="63"/>
      <c r="D19" s="63"/>
      <c r="E19" s="63"/>
      <c r="F19" s="63"/>
      <c r="G19" s="63"/>
      <c r="H19" s="63"/>
      <c r="I19" s="64"/>
      <c r="J19" s="81"/>
    </row>
    <row r="20" spans="1:10" ht="15">
      <c r="A20" s="145">
        <f t="shared" si="1"/>
        <v>45678</v>
      </c>
      <c r="B20" s="65">
        <v>7</v>
      </c>
      <c r="C20" s="63"/>
      <c r="D20" s="63"/>
      <c r="E20" s="63"/>
      <c r="F20" s="63"/>
      <c r="G20" s="63"/>
      <c r="H20" s="63"/>
      <c r="I20" s="64"/>
      <c r="J20" s="81"/>
    </row>
    <row r="21" spans="1:10" ht="15">
      <c r="A21" s="144"/>
      <c r="B21" s="65"/>
      <c r="C21" s="63"/>
      <c r="D21" s="63"/>
      <c r="E21" s="63"/>
      <c r="F21" s="63"/>
      <c r="G21" s="63"/>
      <c r="H21" s="63"/>
      <c r="I21" s="64"/>
      <c r="J21" s="81"/>
    </row>
    <row r="22" spans="1:10" ht="19.95" customHeight="1">
      <c r="A22" s="66" t="s">
        <v>303</v>
      </c>
      <c r="B22" s="146" t="s">
        <v>304</v>
      </c>
      <c r="C22" s="147"/>
      <c r="D22" s="63" t="s">
        <v>305</v>
      </c>
      <c r="E22" s="63" t="s">
        <v>306</v>
      </c>
      <c r="F22" s="63" t="s">
        <v>307</v>
      </c>
      <c r="G22" s="146" t="s">
        <v>308</v>
      </c>
      <c r="H22" s="148"/>
      <c r="I22" s="148"/>
      <c r="J22" s="147"/>
    </row>
    <row r="23" spans="1:10" ht="15">
      <c r="A23" s="67"/>
      <c r="B23" s="68"/>
      <c r="C23" s="68"/>
      <c r="D23" s="69"/>
      <c r="E23" s="69"/>
      <c r="F23" s="69"/>
      <c r="G23" s="69"/>
      <c r="H23" s="70"/>
      <c r="I23" s="69"/>
      <c r="J23" s="149"/>
    </row>
    <row r="24" spans="1:10" ht="15.6">
      <c r="A24" s="71"/>
      <c r="B24" s="151" t="s">
        <v>309</v>
      </c>
      <c r="C24" s="152"/>
      <c r="D24" s="71"/>
      <c r="E24" s="151" t="s">
        <v>310</v>
      </c>
      <c r="F24" s="152"/>
      <c r="G24" s="71"/>
      <c r="H24" s="151" t="s">
        <v>311</v>
      </c>
      <c r="I24" s="152"/>
      <c r="J24" s="150"/>
    </row>
    <row r="25" spans="1:10" ht="15.6">
      <c r="A25" s="153" t="s">
        <v>312</v>
      </c>
      <c r="B25" s="153"/>
      <c r="C25" s="153"/>
      <c r="D25" s="153"/>
      <c r="E25" s="71"/>
      <c r="F25" s="71"/>
      <c r="G25" s="71"/>
      <c r="H25" s="71"/>
      <c r="I25" s="72"/>
      <c r="J25" s="150"/>
    </row>
    <row r="26" spans="1:10" ht="15.6">
      <c r="A26" s="153" t="s">
        <v>313</v>
      </c>
      <c r="B26" s="153"/>
      <c r="C26" s="153"/>
      <c r="D26" s="153"/>
      <c r="E26" s="71"/>
      <c r="F26" s="71"/>
      <c r="G26" s="71"/>
      <c r="H26" s="71"/>
      <c r="I26" s="71"/>
      <c r="J26" s="150"/>
    </row>
    <row r="27" spans="1:10" ht="15.6">
      <c r="A27" s="153" t="s">
        <v>314</v>
      </c>
      <c r="B27" s="153"/>
      <c r="C27" s="153"/>
      <c r="D27" s="153"/>
      <c r="E27" s="71"/>
      <c r="F27" s="71"/>
      <c r="G27" s="71"/>
      <c r="H27" s="71"/>
      <c r="I27" s="71"/>
      <c r="J27" s="150"/>
    </row>
    <row r="28" spans="1:10" ht="15.6">
      <c r="A28" s="153" t="s">
        <v>315</v>
      </c>
      <c r="B28" s="153"/>
      <c r="C28" s="153"/>
      <c r="D28" s="153"/>
      <c r="E28" s="71"/>
      <c r="F28" s="71"/>
      <c r="G28" s="71"/>
      <c r="H28" s="71"/>
      <c r="I28" s="71"/>
      <c r="J28" s="150"/>
    </row>
    <row r="29" spans="1:10" ht="15.6">
      <c r="A29" s="153" t="s">
        <v>316</v>
      </c>
      <c r="B29" s="153"/>
      <c r="C29" s="153"/>
      <c r="D29" s="153"/>
      <c r="E29" s="71"/>
      <c r="F29" s="71"/>
      <c r="G29" s="71"/>
      <c r="H29" s="71"/>
      <c r="I29" s="71"/>
      <c r="J29" s="150"/>
    </row>
    <row r="30" spans="1:10" ht="15.6">
      <c r="A30" s="153" t="s">
        <v>317</v>
      </c>
      <c r="B30" s="153"/>
      <c r="C30" s="153"/>
      <c r="D30" s="153"/>
      <c r="E30" s="71"/>
      <c r="F30" s="71"/>
      <c r="G30" s="71"/>
      <c r="H30" s="71"/>
      <c r="I30" s="71"/>
      <c r="J30" s="150"/>
    </row>
    <row r="31" spans="1:10" ht="15.6">
      <c r="A31" s="153" t="s">
        <v>318</v>
      </c>
      <c r="B31" s="153"/>
      <c r="C31" s="153"/>
      <c r="D31" s="153"/>
      <c r="E31" s="71"/>
      <c r="F31" s="71"/>
      <c r="G31" s="71"/>
      <c r="H31" s="71"/>
      <c r="I31" s="71"/>
      <c r="J31" s="150"/>
    </row>
  </sheetData>
  <sheetProtection password="CC3D" sheet="1" objects="1" scenarios="1"/>
  <mergeCells count="34">
    <mergeCell ref="A18:A19"/>
    <mergeCell ref="B22:C22"/>
    <mergeCell ref="A20:A21"/>
    <mergeCell ref="G22:J22"/>
    <mergeCell ref="J23:J31"/>
    <mergeCell ref="B24:C24"/>
    <mergeCell ref="E24:F24"/>
    <mergeCell ref="H24:I24"/>
    <mergeCell ref="A25:D25"/>
    <mergeCell ref="A26:D26"/>
    <mergeCell ref="A27:D27"/>
    <mergeCell ref="A28:D28"/>
    <mergeCell ref="A29:D29"/>
    <mergeCell ref="A30:D30"/>
    <mergeCell ref="A31:D31"/>
    <mergeCell ref="A8:A9"/>
    <mergeCell ref="A10:A11"/>
    <mergeCell ref="A12:A13"/>
    <mergeCell ref="A14:A15"/>
    <mergeCell ref="A16:A17"/>
    <mergeCell ref="A6:A7"/>
    <mergeCell ref="B6:B7"/>
    <mergeCell ref="A1:B1"/>
    <mergeCell ref="C1:H1"/>
    <mergeCell ref="J1:J3"/>
    <mergeCell ref="A2:B2"/>
    <mergeCell ref="C2:H2"/>
    <mergeCell ref="A3:B3"/>
    <mergeCell ref="C3:H3"/>
    <mergeCell ref="A4:B4"/>
    <mergeCell ref="C4:G4"/>
    <mergeCell ref="A5:B5"/>
    <mergeCell ref="C5:D5"/>
    <mergeCell ref="E5:G5"/>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OUNT_Button1_Click">
                <anchor moveWithCells="1" sizeWithCells="1">
                  <from>
                    <xdr:col>11</xdr:col>
                    <xdr:colOff>205740</xdr:colOff>
                    <xdr:row>3</xdr:row>
                    <xdr:rowOff>99060</xdr:rowOff>
                  </from>
                  <to>
                    <xdr:col>15</xdr:col>
                    <xdr:colOff>373380</xdr:colOff>
                    <xdr:row>5</xdr:row>
                    <xdr:rowOff>22860</xdr:rowOff>
                  </to>
                </anchor>
              </controlPr>
            </control>
          </mc:Choice>
        </mc:AlternateContent>
        <mc:AlternateContent xmlns:mc="http://schemas.openxmlformats.org/markup-compatibility/2006">
          <mc:Choice Requires="x14">
            <control shapeId="37890" r:id="rId5" name="Button 2">
              <controlPr defaultSize="0" print="0" autoFill="0" autoPict="0" macro="[0]!SCHEDULE86_Button2_Click">
                <anchor moveWithCells="1" sizeWithCells="1">
                  <from>
                    <xdr:col>11</xdr:col>
                    <xdr:colOff>182880</xdr:colOff>
                    <xdr:row>0</xdr:row>
                    <xdr:rowOff>327660</xdr:rowOff>
                  </from>
                  <to>
                    <xdr:col>15</xdr:col>
                    <xdr:colOff>381000</xdr:colOff>
                    <xdr:row>2</xdr:row>
                    <xdr:rowOff>114300</xdr:rowOff>
                  </to>
                </anchor>
              </controlPr>
            </control>
          </mc:Choice>
        </mc:AlternateContent>
        <mc:AlternateContent xmlns:mc="http://schemas.openxmlformats.org/markup-compatibility/2006">
          <mc:Choice Requires="x14">
            <control shapeId="37892" r:id="rId6" name="Button 4">
              <controlPr defaultSize="0" print="0" autoFill="0" autoPict="0" macro="[0]!Button5_Click">
                <anchor moveWithCells="1" sizeWithCells="1">
                  <from>
                    <xdr:col>11</xdr:col>
                    <xdr:colOff>243840</xdr:colOff>
                    <xdr:row>6</xdr:row>
                    <xdr:rowOff>114300</xdr:rowOff>
                  </from>
                  <to>
                    <xdr:col>15</xdr:col>
                    <xdr:colOff>350520</xdr:colOff>
                    <xdr:row>7</xdr:row>
                    <xdr:rowOff>480060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J29"/>
  <sheetViews>
    <sheetView view="pageBreakPreview" zoomScale="60" workbookViewId="0">
      <selection activeCell="C8" sqref="C8:J19"/>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24" t="s">
        <v>281</v>
      </c>
      <c r="B1" s="125"/>
      <c r="C1" s="126" t="s">
        <v>282</v>
      </c>
      <c r="D1" s="127"/>
      <c r="E1" s="127"/>
      <c r="F1" s="127"/>
      <c r="G1" s="127"/>
      <c r="H1" s="128"/>
      <c r="I1" s="56"/>
      <c r="J1" s="129"/>
    </row>
    <row r="2" spans="1:10" ht="18" customHeight="1">
      <c r="A2" s="124" t="s">
        <v>283</v>
      </c>
      <c r="B2" s="125"/>
      <c r="C2" s="132" t="s">
        <v>284</v>
      </c>
      <c r="D2" s="132"/>
      <c r="E2" s="132"/>
      <c r="F2" s="132"/>
      <c r="G2" s="132"/>
      <c r="H2" s="133"/>
      <c r="I2" s="56"/>
      <c r="J2" s="130"/>
    </row>
    <row r="3" spans="1:10" ht="18" customHeight="1">
      <c r="A3" s="124" t="s">
        <v>285</v>
      </c>
      <c r="B3" s="125"/>
      <c r="C3" s="132" t="s">
        <v>286</v>
      </c>
      <c r="D3" s="132"/>
      <c r="E3" s="132"/>
      <c r="F3" s="132"/>
      <c r="G3" s="132"/>
      <c r="H3" s="133"/>
      <c r="I3" s="56"/>
      <c r="J3" s="131"/>
    </row>
    <row r="4" spans="1:10" ht="23.4">
      <c r="A4" s="124" t="s">
        <v>287</v>
      </c>
      <c r="B4" s="125"/>
      <c r="C4" s="134" t="s">
        <v>288</v>
      </c>
      <c r="D4" s="135"/>
      <c r="E4" s="135"/>
      <c r="F4" s="135"/>
      <c r="G4" s="136"/>
      <c r="H4" s="57" t="s">
        <v>289</v>
      </c>
      <c r="I4" s="57" t="s">
        <v>321</v>
      </c>
      <c r="J4" s="58" t="str">
        <f>IF(WORK_PLACE2!$K$6=1,"T1",IF(WORK_PLACE2!$K$6=2,"T2","T3"))</f>
        <v>T3</v>
      </c>
    </row>
    <row r="5" spans="1:10" ht="24.6" customHeight="1">
      <c r="A5" s="137" t="s">
        <v>290</v>
      </c>
      <c r="B5" s="138"/>
      <c r="C5" s="139" t="s">
        <v>291</v>
      </c>
      <c r="D5" s="139"/>
      <c r="E5" s="140" t="s">
        <v>292</v>
      </c>
      <c r="F5" s="141"/>
      <c r="G5" s="142"/>
      <c r="H5" s="57" t="s">
        <v>293</v>
      </c>
      <c r="I5" s="57" t="s">
        <v>330</v>
      </c>
      <c r="J5" s="85">
        <f>WORK_PLACE2!$F$51</f>
        <v>0</v>
      </c>
    </row>
    <row r="6" spans="1:10" ht="15">
      <c r="A6" s="121" t="s">
        <v>294</v>
      </c>
      <c r="B6" s="121" t="s">
        <v>295</v>
      </c>
      <c r="C6" s="59" t="s">
        <v>331</v>
      </c>
      <c r="D6" s="59" t="s">
        <v>332</v>
      </c>
      <c r="E6" s="59" t="s">
        <v>333</v>
      </c>
      <c r="F6" s="59" t="s">
        <v>334</v>
      </c>
      <c r="G6" s="59" t="s">
        <v>335</v>
      </c>
      <c r="H6" s="59" t="s">
        <v>336</v>
      </c>
      <c r="I6" s="59" t="s">
        <v>337</v>
      </c>
      <c r="J6" s="60" t="s">
        <v>338</v>
      </c>
    </row>
    <row r="7" spans="1:10" ht="15.6">
      <c r="A7" s="122"/>
      <c r="B7" s="123"/>
      <c r="C7" s="61" t="s">
        <v>339</v>
      </c>
      <c r="D7" s="61" t="s">
        <v>340</v>
      </c>
      <c r="E7" s="61" t="s">
        <v>297</v>
      </c>
      <c r="F7" s="61" t="s">
        <v>298</v>
      </c>
      <c r="G7" s="61" t="s">
        <v>299</v>
      </c>
      <c r="H7" s="61" t="s">
        <v>341</v>
      </c>
      <c r="I7" s="61" t="s">
        <v>342</v>
      </c>
      <c r="J7" s="62" t="s">
        <v>343</v>
      </c>
    </row>
    <row r="8" spans="1:10" ht="210" customHeight="1">
      <c r="A8" s="143">
        <f>WORK_PLACE!I8</f>
        <v>45673</v>
      </c>
      <c r="B8" s="66">
        <v>1</v>
      </c>
      <c r="C8" s="83"/>
      <c r="D8" s="63"/>
      <c r="E8" s="63"/>
      <c r="F8" s="63"/>
      <c r="G8" s="63"/>
      <c r="H8" s="63"/>
      <c r="I8" s="64"/>
      <c r="J8" s="81"/>
    </row>
    <row r="9" spans="1:10" ht="30" customHeight="1">
      <c r="A9" s="144"/>
      <c r="B9" s="82"/>
      <c r="C9" s="63"/>
      <c r="D9" s="63"/>
      <c r="E9" s="63"/>
      <c r="F9" s="63"/>
      <c r="G9" s="63"/>
      <c r="H9" s="63"/>
      <c r="I9" s="64"/>
      <c r="J9" s="81"/>
    </row>
    <row r="10" spans="1:10" ht="15">
      <c r="A10" s="145">
        <f>A8+1</f>
        <v>45674</v>
      </c>
      <c r="B10" s="65">
        <v>2</v>
      </c>
      <c r="C10" s="63"/>
      <c r="D10" s="63"/>
      <c r="E10" s="63"/>
      <c r="F10" s="63"/>
      <c r="G10" s="63"/>
      <c r="H10" s="63"/>
      <c r="I10" s="64"/>
      <c r="J10" s="81"/>
    </row>
    <row r="11" spans="1:10" ht="15">
      <c r="A11" s="144"/>
      <c r="B11" s="65"/>
      <c r="C11" s="63"/>
      <c r="D11" s="63"/>
      <c r="E11" s="63"/>
      <c r="F11" s="63"/>
      <c r="G11" s="63"/>
      <c r="H11" s="63"/>
      <c r="I11" s="64"/>
      <c r="J11" s="81"/>
    </row>
    <row r="12" spans="1:10" ht="15">
      <c r="A12" s="145">
        <f>A8+2</f>
        <v>45675</v>
      </c>
      <c r="B12" s="65">
        <v>3</v>
      </c>
      <c r="C12" s="63"/>
      <c r="D12" s="63"/>
      <c r="E12" s="63"/>
      <c r="F12" s="63"/>
      <c r="G12" s="63"/>
      <c r="H12" s="63"/>
      <c r="I12" s="64"/>
      <c r="J12" s="81"/>
    </row>
    <row r="13" spans="1:10" ht="15">
      <c r="A13" s="122"/>
      <c r="B13" s="65"/>
      <c r="C13" s="63"/>
      <c r="D13" s="63"/>
      <c r="E13" s="63"/>
      <c r="F13" s="63"/>
      <c r="G13" s="63"/>
      <c r="H13" s="63"/>
      <c r="I13" s="64"/>
      <c r="J13" s="81"/>
    </row>
    <row r="14" spans="1:10" ht="15">
      <c r="A14" s="145">
        <f>A8+3</f>
        <v>45676</v>
      </c>
      <c r="B14" s="65">
        <v>4</v>
      </c>
      <c r="C14" s="63"/>
      <c r="D14" s="63"/>
      <c r="E14" s="63"/>
      <c r="F14" s="63"/>
      <c r="G14" s="63"/>
      <c r="H14" s="63"/>
      <c r="I14" s="64"/>
      <c r="J14" s="81"/>
    </row>
    <row r="15" spans="1:10" ht="15">
      <c r="A15" s="144"/>
      <c r="B15" s="65"/>
      <c r="C15" s="63"/>
      <c r="D15" s="63"/>
      <c r="E15" s="63"/>
      <c r="F15" s="63"/>
      <c r="G15" s="63"/>
      <c r="H15" s="63"/>
      <c r="I15" s="64"/>
      <c r="J15" s="81"/>
    </row>
    <row r="16" spans="1:10" ht="15">
      <c r="A16" s="145">
        <f t="shared" ref="A16" si="0">A10+3</f>
        <v>45677</v>
      </c>
      <c r="B16" s="65">
        <v>5</v>
      </c>
      <c r="C16" s="63"/>
      <c r="D16" s="63"/>
      <c r="E16" s="63"/>
      <c r="F16" s="63"/>
      <c r="G16" s="63"/>
      <c r="H16" s="63"/>
      <c r="I16" s="64"/>
      <c r="J16" s="81"/>
    </row>
    <row r="17" spans="1:10" ht="15">
      <c r="A17" s="144"/>
      <c r="B17" s="65"/>
      <c r="C17" s="63"/>
      <c r="D17" s="63"/>
      <c r="E17" s="63"/>
      <c r="F17" s="63"/>
      <c r="G17" s="63"/>
      <c r="H17" s="63"/>
      <c r="I17" s="64"/>
      <c r="J17" s="81"/>
    </row>
    <row r="18" spans="1:10" ht="15">
      <c r="A18" s="145">
        <f t="shared" ref="A18" si="1">A12+3</f>
        <v>45678</v>
      </c>
      <c r="B18" s="65">
        <v>6</v>
      </c>
      <c r="C18" s="63"/>
      <c r="D18" s="63"/>
      <c r="E18" s="63"/>
      <c r="F18" s="63"/>
      <c r="G18" s="63"/>
      <c r="H18" s="63"/>
      <c r="I18" s="64"/>
      <c r="J18" s="81"/>
    </row>
    <row r="19" spans="1:10" ht="15">
      <c r="A19" s="144"/>
      <c r="B19" s="65"/>
      <c r="C19" s="63"/>
      <c r="D19" s="63"/>
      <c r="E19" s="63"/>
      <c r="F19" s="63"/>
      <c r="G19" s="63"/>
      <c r="H19" s="63"/>
      <c r="I19" s="64"/>
      <c r="J19" s="81"/>
    </row>
    <row r="20" spans="1:10" ht="19.95" customHeight="1">
      <c r="A20" s="66" t="s">
        <v>303</v>
      </c>
      <c r="B20" s="146" t="s">
        <v>304</v>
      </c>
      <c r="C20" s="147"/>
      <c r="D20" s="63" t="s">
        <v>305</v>
      </c>
      <c r="E20" s="63" t="s">
        <v>306</v>
      </c>
      <c r="F20" s="63" t="s">
        <v>307</v>
      </c>
      <c r="G20" s="154" t="s">
        <v>308</v>
      </c>
      <c r="H20" s="154"/>
      <c r="I20" s="154"/>
      <c r="J20" s="154"/>
    </row>
    <row r="21" spans="1:10" ht="15">
      <c r="A21" s="67"/>
      <c r="B21" s="68"/>
      <c r="C21" s="68"/>
      <c r="D21" s="69"/>
      <c r="E21" s="69"/>
      <c r="F21" s="69"/>
      <c r="G21" s="69"/>
      <c r="H21" s="69"/>
      <c r="I21" s="69"/>
    </row>
    <row r="22" spans="1:10" ht="15.6">
      <c r="A22" s="71"/>
      <c r="B22" s="151" t="s">
        <v>309</v>
      </c>
      <c r="C22" s="152"/>
      <c r="D22" s="71"/>
      <c r="E22" s="151" t="s">
        <v>310</v>
      </c>
      <c r="F22" s="152"/>
      <c r="G22" s="71"/>
      <c r="H22" s="155" t="s">
        <v>311</v>
      </c>
      <c r="I22" s="155"/>
      <c r="J22" s="155"/>
    </row>
    <row r="23" spans="1:10" ht="15.6">
      <c r="A23" s="153" t="s">
        <v>312</v>
      </c>
      <c r="B23" s="153"/>
      <c r="C23" s="153"/>
      <c r="D23" s="153"/>
      <c r="E23" s="71"/>
      <c r="F23" s="71"/>
      <c r="G23" s="71"/>
      <c r="H23" s="71"/>
      <c r="I23" s="72"/>
    </row>
    <row r="24" spans="1:10" ht="15.6">
      <c r="A24" s="153" t="s">
        <v>313</v>
      </c>
      <c r="B24" s="153"/>
      <c r="C24" s="153"/>
      <c r="D24" s="153"/>
      <c r="E24" s="71"/>
      <c r="F24" s="71"/>
      <c r="G24" s="71"/>
      <c r="H24" s="156"/>
      <c r="I24" s="156"/>
      <c r="J24" s="156"/>
    </row>
    <row r="25" spans="1:10" ht="15.6">
      <c r="A25" s="153" t="s">
        <v>314</v>
      </c>
      <c r="B25" s="153"/>
      <c r="C25" s="153"/>
      <c r="D25" s="153"/>
      <c r="E25" s="71"/>
      <c r="F25" s="71"/>
      <c r="G25" s="71"/>
      <c r="H25" s="156"/>
      <c r="I25" s="156"/>
      <c r="J25" s="156"/>
    </row>
    <row r="26" spans="1:10" ht="15.6">
      <c r="A26" s="153" t="s">
        <v>315</v>
      </c>
      <c r="B26" s="153"/>
      <c r="C26" s="153"/>
      <c r="D26" s="153"/>
      <c r="E26" s="71"/>
      <c r="F26" s="71"/>
      <c r="G26" s="71"/>
      <c r="H26" s="156"/>
      <c r="I26" s="156"/>
      <c r="J26" s="156"/>
    </row>
    <row r="27" spans="1:10" ht="15.6">
      <c r="A27" s="153" t="s">
        <v>316</v>
      </c>
      <c r="B27" s="153"/>
      <c r="C27" s="153"/>
      <c r="D27" s="153"/>
      <c r="E27" s="71"/>
      <c r="F27" s="71"/>
      <c r="G27" s="71"/>
      <c r="H27" s="156"/>
      <c r="I27" s="156"/>
      <c r="J27" s="156"/>
    </row>
    <row r="28" spans="1:10" ht="15.6">
      <c r="A28" s="153" t="s">
        <v>317</v>
      </c>
      <c r="B28" s="153"/>
      <c r="C28" s="153"/>
      <c r="D28" s="153"/>
      <c r="E28" s="71"/>
      <c r="F28" s="71"/>
      <c r="G28" s="71"/>
      <c r="H28" s="156"/>
      <c r="I28" s="156"/>
      <c r="J28" s="156"/>
    </row>
    <row r="29" spans="1:10" ht="15.6">
      <c r="A29" s="153" t="s">
        <v>318</v>
      </c>
      <c r="B29" s="153"/>
      <c r="C29" s="153"/>
      <c r="D29" s="153"/>
      <c r="E29" s="71"/>
      <c r="F29" s="71"/>
      <c r="G29" s="71"/>
      <c r="H29" s="156"/>
      <c r="I29" s="156"/>
      <c r="J29" s="156"/>
    </row>
  </sheetData>
  <sheetProtection password="CC3D" sheet="1" objects="1" scenarios="1"/>
  <mergeCells count="33">
    <mergeCell ref="A4:B4"/>
    <mergeCell ref="C4:G4"/>
    <mergeCell ref="A5:B5"/>
    <mergeCell ref="C5:D5"/>
    <mergeCell ref="E5:G5"/>
    <mergeCell ref="A1:B1"/>
    <mergeCell ref="C1:H1"/>
    <mergeCell ref="J1:J3"/>
    <mergeCell ref="A2:B2"/>
    <mergeCell ref="C2:H2"/>
    <mergeCell ref="A3:B3"/>
    <mergeCell ref="C3:H3"/>
    <mergeCell ref="A26:D26"/>
    <mergeCell ref="A27:D27"/>
    <mergeCell ref="A28:D28"/>
    <mergeCell ref="A29:D29"/>
    <mergeCell ref="H22:J22"/>
    <mergeCell ref="H24:J29"/>
    <mergeCell ref="B22:C22"/>
    <mergeCell ref="E22:F22"/>
    <mergeCell ref="A23:D23"/>
    <mergeCell ref="A24:D24"/>
    <mergeCell ref="A25:D25"/>
    <mergeCell ref="A8:A9"/>
    <mergeCell ref="A6:A7"/>
    <mergeCell ref="B6:B7"/>
    <mergeCell ref="B20:C20"/>
    <mergeCell ref="G20:J20"/>
    <mergeCell ref="A10:A11"/>
    <mergeCell ref="A12:A13"/>
    <mergeCell ref="A14:A15"/>
    <mergeCell ref="A16:A17"/>
    <mergeCell ref="A18:A19"/>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COUNT_Button1_Click">
                <anchor moveWithCells="1" sizeWithCells="1">
                  <from>
                    <xdr:col>11</xdr:col>
                    <xdr:colOff>205740</xdr:colOff>
                    <xdr:row>3</xdr:row>
                    <xdr:rowOff>99060</xdr:rowOff>
                  </from>
                  <to>
                    <xdr:col>15</xdr:col>
                    <xdr:colOff>373380</xdr:colOff>
                    <xdr:row>5</xdr:row>
                    <xdr:rowOff>22860</xdr:rowOff>
                  </to>
                </anchor>
              </controlPr>
            </control>
          </mc:Choice>
        </mc:AlternateContent>
        <mc:AlternateContent xmlns:mc="http://schemas.openxmlformats.org/markup-compatibility/2006">
          <mc:Choice Requires="x14">
            <control shapeId="26627" r:id="rId5" name="Button 3">
              <controlPr defaultSize="0" print="0" autoFill="0" autoPict="0" macro="[0]!SCHEDULE86_Button2_Click">
                <anchor moveWithCells="1" sizeWithCells="1">
                  <from>
                    <xdr:col>11</xdr:col>
                    <xdr:colOff>182880</xdr:colOff>
                    <xdr:row>0</xdr:row>
                    <xdr:rowOff>327660</xdr:rowOff>
                  </from>
                  <to>
                    <xdr:col>15</xdr:col>
                    <xdr:colOff>381000</xdr:colOff>
                    <xdr:row>2</xdr:row>
                    <xdr:rowOff>114300</xdr:rowOff>
                  </to>
                </anchor>
              </controlPr>
            </control>
          </mc:Choice>
        </mc:AlternateContent>
        <mc:AlternateContent xmlns:mc="http://schemas.openxmlformats.org/markup-compatibility/2006">
          <mc:Choice Requires="x14">
            <control shapeId="26629" r:id="rId6" name="Button 5">
              <controlPr defaultSize="0" print="0" autoFill="0" autoPict="0" macro="[0]!Button5_Click">
                <anchor moveWithCells="1" sizeWithCells="1">
                  <from>
                    <xdr:col>11</xdr:col>
                    <xdr:colOff>243840</xdr:colOff>
                    <xdr:row>6</xdr:row>
                    <xdr:rowOff>114300</xdr:rowOff>
                  </from>
                  <to>
                    <xdr:col>15</xdr:col>
                    <xdr:colOff>350520</xdr:colOff>
                    <xdr:row>7</xdr:row>
                    <xdr:rowOff>480060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J27"/>
  <sheetViews>
    <sheetView view="pageBreakPreview" zoomScale="60" workbookViewId="0">
      <selection activeCell="N12" sqref="N12"/>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24" t="s">
        <v>281</v>
      </c>
      <c r="B1" s="125"/>
      <c r="C1" s="126" t="s">
        <v>282</v>
      </c>
      <c r="D1" s="127"/>
      <c r="E1" s="127"/>
      <c r="F1" s="127"/>
      <c r="G1" s="127"/>
      <c r="H1" s="128"/>
      <c r="I1" s="56"/>
      <c r="J1" s="129"/>
    </row>
    <row r="2" spans="1:10" ht="18" customHeight="1">
      <c r="A2" s="124" t="s">
        <v>283</v>
      </c>
      <c r="B2" s="125"/>
      <c r="C2" s="132" t="s">
        <v>284</v>
      </c>
      <c r="D2" s="132"/>
      <c r="E2" s="132"/>
      <c r="F2" s="132"/>
      <c r="G2" s="132"/>
      <c r="H2" s="133"/>
      <c r="I2" s="56"/>
      <c r="J2" s="130"/>
    </row>
    <row r="3" spans="1:10" ht="18" customHeight="1">
      <c r="A3" s="124" t="s">
        <v>285</v>
      </c>
      <c r="B3" s="125"/>
      <c r="C3" s="132" t="s">
        <v>286</v>
      </c>
      <c r="D3" s="132"/>
      <c r="E3" s="132"/>
      <c r="F3" s="132"/>
      <c r="G3" s="132"/>
      <c r="H3" s="133"/>
      <c r="I3" s="56"/>
      <c r="J3" s="131"/>
    </row>
    <row r="4" spans="1:10" ht="23.4">
      <c r="A4" s="124" t="s">
        <v>287</v>
      </c>
      <c r="B4" s="125"/>
      <c r="C4" s="134" t="s">
        <v>288</v>
      </c>
      <c r="D4" s="135"/>
      <c r="E4" s="135"/>
      <c r="F4" s="135"/>
      <c r="G4" s="136"/>
      <c r="H4" s="57" t="s">
        <v>289</v>
      </c>
      <c r="I4" s="57" t="s">
        <v>321</v>
      </c>
      <c r="J4" s="58" t="str">
        <f>IF(WORK_PLACE2!$K$6=1,"T1",IF(WORK_PLACE2!$K$6=2,"T2","T3"))</f>
        <v>T3</v>
      </c>
    </row>
    <row r="5" spans="1:10" ht="24.6" customHeight="1">
      <c r="A5" s="137" t="s">
        <v>290</v>
      </c>
      <c r="B5" s="138"/>
      <c r="C5" s="139" t="s">
        <v>291</v>
      </c>
      <c r="D5" s="139"/>
      <c r="E5" s="140" t="s">
        <v>292</v>
      </c>
      <c r="F5" s="141"/>
      <c r="G5" s="142"/>
      <c r="H5" s="57" t="s">
        <v>293</v>
      </c>
      <c r="I5" s="57" t="s">
        <v>322</v>
      </c>
      <c r="J5" s="73">
        <f>WORK_PLACE2!$F$51</f>
        <v>0</v>
      </c>
    </row>
    <row r="6" spans="1:10" ht="15">
      <c r="A6" s="121" t="s">
        <v>294</v>
      </c>
      <c r="B6" s="121" t="s">
        <v>295</v>
      </c>
      <c r="C6" s="59" t="s">
        <v>331</v>
      </c>
      <c r="D6" s="59" t="s">
        <v>332</v>
      </c>
      <c r="E6" s="59" t="s">
        <v>333</v>
      </c>
      <c r="F6" s="59" t="s">
        <v>334</v>
      </c>
      <c r="G6" s="59" t="s">
        <v>335</v>
      </c>
      <c r="H6" s="59" t="s">
        <v>336</v>
      </c>
      <c r="I6" s="59" t="s">
        <v>337</v>
      </c>
      <c r="J6" s="60" t="s">
        <v>337</v>
      </c>
    </row>
    <row r="7" spans="1:10" ht="15.6">
      <c r="A7" s="122"/>
      <c r="B7" s="122"/>
      <c r="C7" s="61" t="s">
        <v>339</v>
      </c>
      <c r="D7" s="61" t="s">
        <v>340</v>
      </c>
      <c r="E7" s="61" t="s">
        <v>297</v>
      </c>
      <c r="F7" s="61" t="s">
        <v>298</v>
      </c>
      <c r="G7" s="61" t="s">
        <v>299</v>
      </c>
      <c r="H7" s="61" t="s">
        <v>341</v>
      </c>
      <c r="I7" s="61" t="s">
        <v>342</v>
      </c>
      <c r="J7" s="62" t="s">
        <v>343</v>
      </c>
    </row>
    <row r="8" spans="1:10" ht="105">
      <c r="A8" s="143">
        <f>WORK_PLACE!I8</f>
        <v>45673</v>
      </c>
      <c r="B8" s="65">
        <v>1</v>
      </c>
      <c r="C8" s="63" t="s">
        <v>274</v>
      </c>
      <c r="D8" s="63" t="s">
        <v>275</v>
      </c>
      <c r="E8" s="63" t="s">
        <v>275</v>
      </c>
      <c r="F8" s="63" t="s">
        <v>364</v>
      </c>
      <c r="G8" s="63" t="s">
        <v>365</v>
      </c>
      <c r="H8" s="63" t="s">
        <v>366</v>
      </c>
      <c r="I8" s="64" t="s">
        <v>367</v>
      </c>
      <c r="J8" s="81" t="s">
        <v>367</v>
      </c>
    </row>
    <row r="9" spans="1:10" ht="30">
      <c r="A9" s="144"/>
      <c r="B9" s="65"/>
      <c r="C9" s="63" t="s">
        <v>390</v>
      </c>
      <c r="D9" s="63" t="s">
        <v>390</v>
      </c>
      <c r="E9" s="63" t="s">
        <v>390</v>
      </c>
      <c r="F9" s="63" t="s">
        <v>391</v>
      </c>
      <c r="G9" s="63" t="s">
        <v>18</v>
      </c>
      <c r="H9" s="63" t="s">
        <v>18</v>
      </c>
      <c r="I9" s="64" t="s">
        <v>7</v>
      </c>
      <c r="J9" s="81" t="s">
        <v>7</v>
      </c>
    </row>
    <row r="10" spans="1:10" ht="60">
      <c r="A10" s="145">
        <f>A8+1</f>
        <v>45674</v>
      </c>
      <c r="B10" s="65">
        <v>2</v>
      </c>
      <c r="C10" s="63" t="s">
        <v>368</v>
      </c>
      <c r="D10" s="63" t="s">
        <v>368</v>
      </c>
      <c r="E10" s="63" t="s">
        <v>369</v>
      </c>
      <c r="F10" s="63" t="s">
        <v>370</v>
      </c>
      <c r="G10" s="63" t="s">
        <v>371</v>
      </c>
      <c r="H10" s="63" t="s">
        <v>372</v>
      </c>
      <c r="I10" s="64" t="s">
        <v>373</v>
      </c>
      <c r="J10" s="81" t="s">
        <v>374</v>
      </c>
    </row>
    <row r="11" spans="1:10" ht="30">
      <c r="A11" s="144"/>
      <c r="B11" s="65"/>
      <c r="C11" s="63" t="s">
        <v>12</v>
      </c>
      <c r="D11" s="63" t="s">
        <v>12</v>
      </c>
      <c r="E11" s="63" t="s">
        <v>19</v>
      </c>
      <c r="F11" s="63" t="s">
        <v>21</v>
      </c>
      <c r="G11" s="63" t="s">
        <v>20</v>
      </c>
      <c r="H11" s="63" t="s">
        <v>25</v>
      </c>
      <c r="I11" s="64" t="s">
        <v>16</v>
      </c>
      <c r="J11" s="81" t="s">
        <v>16</v>
      </c>
    </row>
    <row r="12" spans="1:10" ht="150">
      <c r="A12" s="145">
        <f>A8+2</f>
        <v>45675</v>
      </c>
      <c r="B12" s="65">
        <v>3</v>
      </c>
      <c r="C12" s="63" t="s">
        <v>374</v>
      </c>
      <c r="D12" s="63" t="s">
        <v>375</v>
      </c>
      <c r="E12" s="63" t="s">
        <v>376</v>
      </c>
      <c r="F12" s="63" t="s">
        <v>377</v>
      </c>
      <c r="G12" s="63" t="s">
        <v>28</v>
      </c>
      <c r="H12" s="63" t="s">
        <v>29</v>
      </c>
      <c r="I12" s="64" t="s">
        <v>30</v>
      </c>
      <c r="J12" s="81" t="s">
        <v>31</v>
      </c>
    </row>
    <row r="13" spans="1:10" ht="30">
      <c r="A13" s="122"/>
      <c r="B13" s="65"/>
      <c r="C13" s="63" t="s">
        <v>16</v>
      </c>
      <c r="D13" s="63" t="s">
        <v>27</v>
      </c>
      <c r="E13" s="63" t="s">
        <v>17</v>
      </c>
      <c r="F13" s="63" t="s">
        <v>17</v>
      </c>
      <c r="G13" s="63" t="s">
        <v>12</v>
      </c>
      <c r="H13" s="63" t="s">
        <v>22</v>
      </c>
      <c r="I13" s="64" t="s">
        <v>19</v>
      </c>
      <c r="J13" s="81" t="s">
        <v>25</v>
      </c>
    </row>
    <row r="14" spans="1:10" ht="105">
      <c r="A14" s="145">
        <f>A8+3</f>
        <v>45676</v>
      </c>
      <c r="B14" s="65">
        <v>4</v>
      </c>
      <c r="C14" s="63" t="s">
        <v>378</v>
      </c>
      <c r="D14" s="63" t="s">
        <v>378</v>
      </c>
      <c r="E14" s="63" t="s">
        <v>379</v>
      </c>
      <c r="F14" s="63" t="s">
        <v>379</v>
      </c>
      <c r="G14" s="63" t="s">
        <v>380</v>
      </c>
      <c r="H14" s="63" t="s">
        <v>381</v>
      </c>
      <c r="I14" s="64" t="s">
        <v>382</v>
      </c>
      <c r="J14" s="81" t="s">
        <v>383</v>
      </c>
    </row>
    <row r="15" spans="1:10" ht="30">
      <c r="A15" s="144"/>
      <c r="B15" s="65"/>
      <c r="C15" s="63" t="s">
        <v>20</v>
      </c>
      <c r="D15" s="63" t="s">
        <v>20</v>
      </c>
      <c r="E15" s="63" t="s">
        <v>391</v>
      </c>
      <c r="F15" s="63" t="s">
        <v>391</v>
      </c>
      <c r="G15" s="63" t="s">
        <v>21</v>
      </c>
      <c r="H15" s="63" t="s">
        <v>20</v>
      </c>
      <c r="I15" s="64" t="s">
        <v>25</v>
      </c>
      <c r="J15" s="81" t="s">
        <v>16</v>
      </c>
    </row>
    <row r="16" spans="1:10" ht="165">
      <c r="A16" s="145">
        <f t="shared" ref="A16" si="0">A10+3</f>
        <v>45677</v>
      </c>
      <c r="B16" s="65">
        <v>5</v>
      </c>
      <c r="C16" s="63" t="s">
        <v>384</v>
      </c>
      <c r="D16" s="63" t="s">
        <v>385</v>
      </c>
      <c r="E16" s="63" t="s">
        <v>386</v>
      </c>
      <c r="F16" s="63" t="s">
        <v>387</v>
      </c>
      <c r="G16" s="63" t="s">
        <v>387</v>
      </c>
      <c r="H16" s="63" t="s">
        <v>388</v>
      </c>
      <c r="I16" s="64" t="s">
        <v>388</v>
      </c>
      <c r="J16" s="81" t="s">
        <v>388</v>
      </c>
    </row>
    <row r="17" spans="1:10" ht="30">
      <c r="A17" s="144"/>
      <c r="B17" s="65"/>
      <c r="C17" s="63" t="s">
        <v>16</v>
      </c>
      <c r="D17" s="63" t="s">
        <v>27</v>
      </c>
      <c r="E17" s="63" t="s">
        <v>12</v>
      </c>
      <c r="F17" s="63" t="s">
        <v>17</v>
      </c>
      <c r="G17" s="63" t="s">
        <v>17</v>
      </c>
      <c r="H17" s="63" t="s">
        <v>12</v>
      </c>
      <c r="I17" s="64" t="s">
        <v>12</v>
      </c>
      <c r="J17" s="81" t="s">
        <v>12</v>
      </c>
    </row>
    <row r="18" spans="1:10" ht="19.95" customHeight="1">
      <c r="A18" s="66" t="s">
        <v>303</v>
      </c>
      <c r="B18" s="146" t="s">
        <v>304</v>
      </c>
      <c r="C18" s="147"/>
      <c r="D18" s="63" t="s">
        <v>305</v>
      </c>
      <c r="E18" s="63" t="s">
        <v>306</v>
      </c>
      <c r="F18" s="63" t="s">
        <v>307</v>
      </c>
      <c r="G18" s="146" t="s">
        <v>308</v>
      </c>
      <c r="H18" s="148"/>
      <c r="I18" s="148"/>
      <c r="J18" s="147"/>
    </row>
    <row r="19" spans="1:10" ht="15">
      <c r="A19" s="67"/>
      <c r="B19" s="68"/>
      <c r="C19" s="68"/>
      <c r="D19" s="69"/>
      <c r="E19" s="69"/>
      <c r="F19" s="69"/>
      <c r="G19" s="69"/>
      <c r="H19" s="70"/>
      <c r="I19" s="69"/>
      <c r="J19" s="149"/>
    </row>
    <row r="20" spans="1:10" ht="15.6">
      <c r="A20" s="71"/>
      <c r="B20" s="151" t="s">
        <v>309</v>
      </c>
      <c r="C20" s="152"/>
      <c r="D20" s="71"/>
      <c r="E20" s="151" t="s">
        <v>310</v>
      </c>
      <c r="F20" s="152"/>
      <c r="G20" s="71"/>
      <c r="H20" s="151" t="s">
        <v>311</v>
      </c>
      <c r="I20" s="152"/>
      <c r="J20" s="150"/>
    </row>
    <row r="21" spans="1:10" ht="15.6">
      <c r="A21" s="153" t="s">
        <v>312</v>
      </c>
      <c r="B21" s="153"/>
      <c r="C21" s="153"/>
      <c r="D21" s="153"/>
      <c r="E21" s="71"/>
      <c r="F21" s="71"/>
      <c r="G21" s="71"/>
      <c r="H21" s="71"/>
      <c r="I21" s="72"/>
      <c r="J21" s="150"/>
    </row>
    <row r="22" spans="1:10" ht="15.6">
      <c r="A22" s="153" t="s">
        <v>313</v>
      </c>
      <c r="B22" s="153"/>
      <c r="C22" s="153"/>
      <c r="D22" s="153"/>
      <c r="E22" s="71"/>
      <c r="F22" s="71"/>
      <c r="G22" s="71"/>
      <c r="H22" s="71"/>
      <c r="I22" s="71"/>
      <c r="J22" s="150"/>
    </row>
    <row r="23" spans="1:10" ht="15.6">
      <c r="A23" s="153" t="s">
        <v>314</v>
      </c>
      <c r="B23" s="153"/>
      <c r="C23" s="153"/>
      <c r="D23" s="153"/>
      <c r="E23" s="71"/>
      <c r="F23" s="71"/>
      <c r="G23" s="71"/>
      <c r="H23" s="71"/>
      <c r="I23" s="71"/>
      <c r="J23" s="150"/>
    </row>
    <row r="24" spans="1:10" ht="15.6">
      <c r="A24" s="153" t="s">
        <v>315</v>
      </c>
      <c r="B24" s="153"/>
      <c r="C24" s="153"/>
      <c r="D24" s="153"/>
      <c r="E24" s="71"/>
      <c r="F24" s="71"/>
      <c r="G24" s="71"/>
      <c r="H24" s="71"/>
      <c r="I24" s="71"/>
      <c r="J24" s="150"/>
    </row>
    <row r="25" spans="1:10" ht="15.6">
      <c r="A25" s="153" t="s">
        <v>316</v>
      </c>
      <c r="B25" s="153"/>
      <c r="C25" s="153"/>
      <c r="D25" s="153"/>
      <c r="E25" s="71"/>
      <c r="F25" s="71"/>
      <c r="G25" s="71"/>
      <c r="H25" s="71"/>
      <c r="I25" s="71"/>
      <c r="J25" s="150"/>
    </row>
    <row r="26" spans="1:10" ht="15.6">
      <c r="A26" s="153" t="s">
        <v>317</v>
      </c>
      <c r="B26" s="153"/>
      <c r="C26" s="153"/>
      <c r="D26" s="153"/>
      <c r="E26" s="71"/>
      <c r="F26" s="71"/>
      <c r="G26" s="71"/>
      <c r="H26" s="71"/>
      <c r="I26" s="71"/>
      <c r="J26" s="150"/>
    </row>
    <row r="27" spans="1:10" ht="15.6">
      <c r="A27" s="153" t="s">
        <v>318</v>
      </c>
      <c r="B27" s="153"/>
      <c r="C27" s="153"/>
      <c r="D27" s="153"/>
      <c r="E27" s="71"/>
      <c r="F27" s="71"/>
      <c r="G27" s="71"/>
      <c r="H27" s="71"/>
      <c r="I27" s="71"/>
      <c r="J27" s="150"/>
    </row>
  </sheetData>
  <sheetProtection algorithmName="SHA-512" hashValue="BrdPp/HuTsgDxdinNaK9CPuszjvOXbGbW1Y2VssQYPYLPaOGDEqaJwMpbYaA1Xmdu+Ecwsogjj/bTwXRKqA5Bw==" saltValue="bBbwohQFOw7JHmjY7DLtQQ==" spinCount="100000" sheet="1" objects="1" scenarios="1"/>
  <mergeCells count="32">
    <mergeCell ref="A10:A11"/>
    <mergeCell ref="A12:A13"/>
    <mergeCell ref="A14:A15"/>
    <mergeCell ref="A16:A17"/>
    <mergeCell ref="A4:B4"/>
    <mergeCell ref="A6:A7"/>
    <mergeCell ref="B6:B7"/>
    <mergeCell ref="A8:A9"/>
    <mergeCell ref="C4:G4"/>
    <mergeCell ref="A5:B5"/>
    <mergeCell ref="C5:D5"/>
    <mergeCell ref="E5:G5"/>
    <mergeCell ref="A1:B1"/>
    <mergeCell ref="C1:H1"/>
    <mergeCell ref="J1:J3"/>
    <mergeCell ref="A2:B2"/>
    <mergeCell ref="C2:H2"/>
    <mergeCell ref="A3:B3"/>
    <mergeCell ref="C3:H3"/>
    <mergeCell ref="B18:C18"/>
    <mergeCell ref="G18:J18"/>
    <mergeCell ref="J19:J27"/>
    <mergeCell ref="B20:C20"/>
    <mergeCell ref="E20:F20"/>
    <mergeCell ref="H20:I20"/>
    <mergeCell ref="A21:D21"/>
    <mergeCell ref="A22:D22"/>
    <mergeCell ref="A23:D23"/>
    <mergeCell ref="A24:D24"/>
    <mergeCell ref="A25:D25"/>
    <mergeCell ref="A26:D26"/>
    <mergeCell ref="A27:D27"/>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OUNT_Button1_Click">
                <anchor moveWithCells="1" sizeWithCells="1">
                  <from>
                    <xdr:col>11</xdr:col>
                    <xdr:colOff>53340</xdr:colOff>
                    <xdr:row>3</xdr:row>
                    <xdr:rowOff>99060</xdr:rowOff>
                  </from>
                  <to>
                    <xdr:col>15</xdr:col>
                    <xdr:colOff>220980</xdr:colOff>
                    <xdr:row>5</xdr:row>
                    <xdr:rowOff>38100</xdr:rowOff>
                  </to>
                </anchor>
              </controlPr>
            </control>
          </mc:Choice>
        </mc:AlternateContent>
        <mc:AlternateContent xmlns:mc="http://schemas.openxmlformats.org/markup-compatibility/2006">
          <mc:Choice Requires="x14">
            <control shapeId="24578" r:id="rId5" name="Button 2">
              <controlPr defaultSize="0" print="0" autoFill="0" autoPict="0" macro="[0]!SCHEDULE86_Button2_Click">
                <anchor moveWithCells="1" sizeWithCells="1">
                  <from>
                    <xdr:col>11</xdr:col>
                    <xdr:colOff>38100</xdr:colOff>
                    <xdr:row>0</xdr:row>
                    <xdr:rowOff>289560</xdr:rowOff>
                  </from>
                  <to>
                    <xdr:col>15</xdr:col>
                    <xdr:colOff>236220</xdr:colOff>
                    <xdr:row>2</xdr:row>
                    <xdr:rowOff>76200</xdr:rowOff>
                  </to>
                </anchor>
              </controlPr>
            </control>
          </mc:Choice>
        </mc:AlternateContent>
        <mc:AlternateContent xmlns:mc="http://schemas.openxmlformats.org/markup-compatibility/2006">
          <mc:Choice Requires="x14">
            <control shapeId="24580" r:id="rId6" name="Button 4">
              <controlPr defaultSize="0" print="0" autoFill="0" autoPict="0" macro="[0]!Button5_Click">
                <anchor moveWithCells="1" sizeWithCells="1">
                  <from>
                    <xdr:col>11</xdr:col>
                    <xdr:colOff>53340</xdr:colOff>
                    <xdr:row>6</xdr:row>
                    <xdr:rowOff>137160</xdr:rowOff>
                  </from>
                  <to>
                    <xdr:col>15</xdr:col>
                    <xdr:colOff>160020</xdr:colOff>
                    <xdr:row>7</xdr:row>
                    <xdr:rowOff>502920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J25"/>
  <sheetViews>
    <sheetView view="pageBreakPreview" topLeftCell="A3" zoomScale="50" zoomScaleSheetLayoutView="50" workbookViewId="0">
      <selection activeCell="C8" sqref="C8:J15"/>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1" width="8.88671875" style="42" customWidth="1"/>
    <col min="12" max="15" width="8.88671875" style="42"/>
    <col min="16" max="16" width="3.88671875" style="42" customWidth="1"/>
    <col min="17" max="16384" width="8.88671875" style="42"/>
  </cols>
  <sheetData>
    <row r="1" spans="1:10" ht="42.6" customHeight="1">
      <c r="A1" s="124" t="s">
        <v>281</v>
      </c>
      <c r="B1" s="125"/>
      <c r="C1" s="126" t="s">
        <v>282</v>
      </c>
      <c r="D1" s="127"/>
      <c r="E1" s="127"/>
      <c r="F1" s="127"/>
      <c r="G1" s="127"/>
      <c r="H1" s="128"/>
      <c r="I1" s="56"/>
      <c r="J1" s="129"/>
    </row>
    <row r="2" spans="1:10" ht="18" customHeight="1">
      <c r="A2" s="124" t="s">
        <v>283</v>
      </c>
      <c r="B2" s="125"/>
      <c r="C2" s="132" t="s">
        <v>284</v>
      </c>
      <c r="D2" s="132"/>
      <c r="E2" s="132"/>
      <c r="F2" s="132"/>
      <c r="G2" s="132"/>
      <c r="H2" s="133"/>
      <c r="I2" s="56"/>
      <c r="J2" s="130"/>
    </row>
    <row r="3" spans="1:10" ht="18" customHeight="1">
      <c r="A3" s="124" t="s">
        <v>285</v>
      </c>
      <c r="B3" s="125"/>
      <c r="C3" s="132" t="s">
        <v>286</v>
      </c>
      <c r="D3" s="132"/>
      <c r="E3" s="132"/>
      <c r="F3" s="132"/>
      <c r="G3" s="132"/>
      <c r="H3" s="133"/>
      <c r="I3" s="56"/>
      <c r="J3" s="131"/>
    </row>
    <row r="4" spans="1:10" ht="23.4">
      <c r="A4" s="124" t="s">
        <v>287</v>
      </c>
      <c r="B4" s="125"/>
      <c r="C4" s="134" t="s">
        <v>288</v>
      </c>
      <c r="D4" s="135"/>
      <c r="E4" s="135"/>
      <c r="F4" s="135"/>
      <c r="G4" s="136"/>
      <c r="H4" s="57" t="s">
        <v>289</v>
      </c>
      <c r="I4" s="57" t="s">
        <v>321</v>
      </c>
      <c r="J4" s="58" t="str">
        <f>IF(WORK_PLACE2!$K$6=1,"T1",IF(WORK_PLACE2!$K$6=2,"T2","T3"))</f>
        <v>T3</v>
      </c>
    </row>
    <row r="5" spans="1:10" ht="24.6" customHeight="1">
      <c r="A5" s="137" t="s">
        <v>290</v>
      </c>
      <c r="B5" s="138"/>
      <c r="C5" s="139" t="s">
        <v>291</v>
      </c>
      <c r="D5" s="139"/>
      <c r="E5" s="140" t="s">
        <v>292</v>
      </c>
      <c r="F5" s="141"/>
      <c r="G5" s="142"/>
      <c r="H5" s="57" t="s">
        <v>293</v>
      </c>
      <c r="I5" s="57" t="s">
        <v>322</v>
      </c>
      <c r="J5" s="73">
        <f>WORK_PLACE2!$F$51</f>
        <v>0</v>
      </c>
    </row>
    <row r="6" spans="1:10" ht="15">
      <c r="A6" s="121" t="s">
        <v>294</v>
      </c>
      <c r="B6" s="121" t="s">
        <v>295</v>
      </c>
      <c r="C6" s="59" t="s">
        <v>331</v>
      </c>
      <c r="D6" s="59" t="s">
        <v>332</v>
      </c>
      <c r="E6" s="59" t="s">
        <v>333</v>
      </c>
      <c r="F6" s="59" t="s">
        <v>334</v>
      </c>
      <c r="G6" s="59" t="s">
        <v>335</v>
      </c>
      <c r="H6" s="59" t="s">
        <v>336</v>
      </c>
      <c r="I6" s="59" t="s">
        <v>337</v>
      </c>
      <c r="J6" s="60" t="s">
        <v>337</v>
      </c>
    </row>
    <row r="7" spans="1:10" ht="15.6">
      <c r="A7" s="122"/>
      <c r="B7" s="122"/>
      <c r="C7" s="61" t="s">
        <v>339</v>
      </c>
      <c r="D7" s="61" t="s">
        <v>340</v>
      </c>
      <c r="E7" s="61" t="s">
        <v>297</v>
      </c>
      <c r="F7" s="61" t="s">
        <v>298</v>
      </c>
      <c r="G7" s="61" t="s">
        <v>299</v>
      </c>
      <c r="H7" s="61" t="s">
        <v>341</v>
      </c>
      <c r="I7" s="61" t="s">
        <v>342</v>
      </c>
      <c r="J7" s="62" t="s">
        <v>343</v>
      </c>
    </row>
    <row r="8" spans="1:10" ht="15">
      <c r="A8" s="143">
        <f>WORK_PLACE!I8</f>
        <v>45673</v>
      </c>
      <c r="B8" s="65">
        <v>1</v>
      </c>
      <c r="C8" s="63"/>
      <c r="D8" s="63"/>
      <c r="E8" s="63"/>
      <c r="F8" s="63"/>
      <c r="G8" s="63"/>
      <c r="H8" s="63"/>
      <c r="I8" s="64"/>
      <c r="J8" s="81"/>
    </row>
    <row r="9" spans="1:10" ht="15">
      <c r="A9" s="144"/>
      <c r="B9" s="65"/>
      <c r="C9" s="63"/>
      <c r="D9" s="63"/>
      <c r="E9" s="63"/>
      <c r="F9" s="63"/>
      <c r="G9" s="63"/>
      <c r="H9" s="63"/>
      <c r="I9" s="64"/>
      <c r="J9" s="81"/>
    </row>
    <row r="10" spans="1:10" ht="15">
      <c r="A10" s="145">
        <f>A8+1</f>
        <v>45674</v>
      </c>
      <c r="B10" s="65">
        <v>2</v>
      </c>
      <c r="C10" s="63"/>
      <c r="D10" s="63"/>
      <c r="E10" s="63"/>
      <c r="F10" s="63"/>
      <c r="G10" s="63"/>
      <c r="H10" s="63"/>
      <c r="I10" s="64"/>
      <c r="J10" s="81"/>
    </row>
    <row r="11" spans="1:10" ht="15">
      <c r="A11" s="144"/>
      <c r="B11" s="65"/>
      <c r="C11" s="63"/>
      <c r="D11" s="63"/>
      <c r="E11" s="63"/>
      <c r="F11" s="63"/>
      <c r="G11" s="63"/>
      <c r="H11" s="63"/>
      <c r="I11" s="64"/>
      <c r="J11" s="81"/>
    </row>
    <row r="12" spans="1:10" ht="15">
      <c r="A12" s="145">
        <f>A8+2</f>
        <v>45675</v>
      </c>
      <c r="B12" s="65">
        <v>3</v>
      </c>
      <c r="C12" s="63"/>
      <c r="D12" s="63"/>
      <c r="E12" s="63"/>
      <c r="F12" s="63"/>
      <c r="G12" s="63"/>
      <c r="H12" s="63"/>
      <c r="I12" s="64"/>
      <c r="J12" s="81"/>
    </row>
    <row r="13" spans="1:10" ht="15">
      <c r="A13" s="122"/>
      <c r="B13" s="65"/>
      <c r="C13" s="63"/>
      <c r="D13" s="63"/>
      <c r="E13" s="63"/>
      <c r="F13" s="63"/>
      <c r="G13" s="63"/>
      <c r="H13" s="63"/>
      <c r="I13" s="64"/>
      <c r="J13" s="81"/>
    </row>
    <row r="14" spans="1:10" ht="15">
      <c r="A14" s="145">
        <f>A8+3</f>
        <v>45676</v>
      </c>
      <c r="B14" s="65">
        <v>4</v>
      </c>
      <c r="C14" s="63"/>
      <c r="D14" s="63"/>
      <c r="E14" s="63"/>
      <c r="F14" s="63"/>
      <c r="G14" s="63"/>
      <c r="H14" s="63"/>
      <c r="I14" s="64"/>
      <c r="J14" s="81"/>
    </row>
    <row r="15" spans="1:10" ht="15">
      <c r="A15" s="144"/>
      <c r="B15" s="65"/>
      <c r="C15" s="63"/>
      <c r="D15" s="63"/>
      <c r="E15" s="63"/>
      <c r="F15" s="63"/>
      <c r="G15" s="63"/>
      <c r="H15" s="63"/>
      <c r="I15" s="64"/>
      <c r="J15" s="81"/>
    </row>
    <row r="16" spans="1:10" ht="19.95" customHeight="1">
      <c r="A16" s="66" t="s">
        <v>303</v>
      </c>
      <c r="B16" s="146" t="s">
        <v>304</v>
      </c>
      <c r="C16" s="147"/>
      <c r="D16" s="63" t="s">
        <v>305</v>
      </c>
      <c r="E16" s="63" t="s">
        <v>306</v>
      </c>
      <c r="F16" s="63" t="s">
        <v>307</v>
      </c>
      <c r="G16" s="146" t="s">
        <v>308</v>
      </c>
      <c r="H16" s="148"/>
      <c r="I16" s="148"/>
      <c r="J16" s="147"/>
    </row>
    <row r="17" spans="1:10" ht="15">
      <c r="A17" s="67"/>
      <c r="B17" s="68"/>
      <c r="C17" s="68"/>
      <c r="D17" s="69"/>
      <c r="E17" s="69"/>
      <c r="F17" s="69"/>
      <c r="G17" s="69"/>
      <c r="H17" s="70"/>
      <c r="I17" s="69"/>
      <c r="J17" s="149"/>
    </row>
    <row r="18" spans="1:10" ht="15.6">
      <c r="A18" s="71"/>
      <c r="B18" s="151" t="s">
        <v>309</v>
      </c>
      <c r="C18" s="152"/>
      <c r="D18" s="71"/>
      <c r="E18" s="151" t="s">
        <v>310</v>
      </c>
      <c r="F18" s="152"/>
      <c r="G18" s="71"/>
      <c r="H18" s="151" t="s">
        <v>311</v>
      </c>
      <c r="I18" s="152"/>
      <c r="J18" s="150"/>
    </row>
    <row r="19" spans="1:10" ht="15.6">
      <c r="A19" s="153" t="s">
        <v>312</v>
      </c>
      <c r="B19" s="153"/>
      <c r="C19" s="153"/>
      <c r="D19" s="153"/>
      <c r="E19" s="71"/>
      <c r="F19" s="71"/>
      <c r="G19" s="71"/>
      <c r="H19" s="71"/>
      <c r="I19" s="72"/>
      <c r="J19" s="150"/>
    </row>
    <row r="20" spans="1:10" ht="15.6">
      <c r="A20" s="153" t="s">
        <v>313</v>
      </c>
      <c r="B20" s="153"/>
      <c r="C20" s="153"/>
      <c r="D20" s="153"/>
      <c r="E20" s="71"/>
      <c r="F20" s="71"/>
      <c r="G20" s="71"/>
      <c r="H20" s="71"/>
      <c r="I20" s="71"/>
      <c r="J20" s="150"/>
    </row>
    <row r="21" spans="1:10" ht="15.6">
      <c r="A21" s="153" t="s">
        <v>314</v>
      </c>
      <c r="B21" s="153"/>
      <c r="C21" s="153"/>
      <c r="D21" s="153"/>
      <c r="E21" s="71"/>
      <c r="F21" s="71"/>
      <c r="G21" s="71"/>
      <c r="H21" s="71"/>
      <c r="I21" s="71"/>
      <c r="J21" s="150"/>
    </row>
    <row r="22" spans="1:10" ht="15.6">
      <c r="A22" s="153" t="s">
        <v>315</v>
      </c>
      <c r="B22" s="153"/>
      <c r="C22" s="153"/>
      <c r="D22" s="153"/>
      <c r="E22" s="71"/>
      <c r="F22" s="71"/>
      <c r="G22" s="71"/>
      <c r="H22" s="71"/>
      <c r="I22" s="71"/>
      <c r="J22" s="150"/>
    </row>
    <row r="23" spans="1:10" ht="15.6">
      <c r="A23" s="153" t="s">
        <v>316</v>
      </c>
      <c r="B23" s="153"/>
      <c r="C23" s="153"/>
      <c r="D23" s="153"/>
      <c r="E23" s="71"/>
      <c r="F23" s="71"/>
      <c r="G23" s="71"/>
      <c r="H23" s="71"/>
      <c r="I23" s="71"/>
      <c r="J23" s="150"/>
    </row>
    <row r="24" spans="1:10" ht="15.6">
      <c r="A24" s="153" t="s">
        <v>317</v>
      </c>
      <c r="B24" s="153"/>
      <c r="C24" s="153"/>
      <c r="D24" s="153"/>
      <c r="E24" s="71"/>
      <c r="F24" s="71"/>
      <c r="G24" s="71"/>
      <c r="H24" s="71"/>
      <c r="I24" s="71"/>
      <c r="J24" s="150"/>
    </row>
    <row r="25" spans="1:10" ht="15.6">
      <c r="A25" s="153" t="s">
        <v>318</v>
      </c>
      <c r="B25" s="153"/>
      <c r="C25" s="153"/>
      <c r="D25" s="153"/>
      <c r="E25" s="71"/>
      <c r="F25" s="71"/>
      <c r="G25" s="71"/>
      <c r="H25" s="71"/>
      <c r="I25" s="71"/>
      <c r="J25" s="150"/>
    </row>
  </sheetData>
  <sheetProtection password="CC3D" sheet="1" objects="1" scenarios="1"/>
  <mergeCells count="31">
    <mergeCell ref="A24:D24"/>
    <mergeCell ref="A25:D25"/>
    <mergeCell ref="G16:J16"/>
    <mergeCell ref="J17:J25"/>
    <mergeCell ref="B18:C18"/>
    <mergeCell ref="E18:F18"/>
    <mergeCell ref="H18:I18"/>
    <mergeCell ref="A19:D19"/>
    <mergeCell ref="A20:D20"/>
    <mergeCell ref="A21:D21"/>
    <mergeCell ref="A22:D22"/>
    <mergeCell ref="A23:D23"/>
    <mergeCell ref="A8:A9"/>
    <mergeCell ref="A10:A11"/>
    <mergeCell ref="A12:A13"/>
    <mergeCell ref="A14:A15"/>
    <mergeCell ref="B16:C16"/>
    <mergeCell ref="A6:A7"/>
    <mergeCell ref="B6:B7"/>
    <mergeCell ref="A1:B1"/>
    <mergeCell ref="C1:H1"/>
    <mergeCell ref="J1:J3"/>
    <mergeCell ref="A2:B2"/>
    <mergeCell ref="C2:H2"/>
    <mergeCell ref="A3:B3"/>
    <mergeCell ref="C3:H3"/>
    <mergeCell ref="A4:B4"/>
    <mergeCell ref="C4:G4"/>
    <mergeCell ref="A5:B5"/>
    <mergeCell ref="C5:D5"/>
    <mergeCell ref="E5:G5"/>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OUNT_Button1_Click">
                <anchor moveWithCells="1" sizeWithCells="1">
                  <from>
                    <xdr:col>11</xdr:col>
                    <xdr:colOff>38100</xdr:colOff>
                    <xdr:row>3</xdr:row>
                    <xdr:rowOff>106680</xdr:rowOff>
                  </from>
                  <to>
                    <xdr:col>15</xdr:col>
                    <xdr:colOff>205740</xdr:colOff>
                    <xdr:row>5</xdr:row>
                    <xdr:rowOff>45720</xdr:rowOff>
                  </to>
                </anchor>
              </controlPr>
            </control>
          </mc:Choice>
        </mc:AlternateContent>
        <mc:AlternateContent xmlns:mc="http://schemas.openxmlformats.org/markup-compatibility/2006">
          <mc:Choice Requires="x14">
            <control shapeId="38914" r:id="rId5" name="Button 2">
              <controlPr defaultSize="0" print="0" autoFill="0" autoPict="0" macro="[0]!SCHEDULE86_Button2_Click">
                <anchor moveWithCells="1" sizeWithCells="1">
                  <from>
                    <xdr:col>11</xdr:col>
                    <xdr:colOff>30480</xdr:colOff>
                    <xdr:row>0</xdr:row>
                    <xdr:rowOff>289560</xdr:rowOff>
                  </from>
                  <to>
                    <xdr:col>15</xdr:col>
                    <xdr:colOff>228600</xdr:colOff>
                    <xdr:row>2</xdr:row>
                    <xdr:rowOff>76200</xdr:rowOff>
                  </to>
                </anchor>
              </controlPr>
            </control>
          </mc:Choice>
        </mc:AlternateContent>
        <mc:AlternateContent xmlns:mc="http://schemas.openxmlformats.org/markup-compatibility/2006">
          <mc:Choice Requires="x14">
            <control shapeId="38916" r:id="rId6" name="Button 4">
              <controlPr defaultSize="0" print="0" autoFill="0" autoPict="0" macro="[0]!Button5_Click">
                <anchor moveWithCells="1" sizeWithCells="1">
                  <from>
                    <xdr:col>11</xdr:col>
                    <xdr:colOff>76200</xdr:colOff>
                    <xdr:row>6</xdr:row>
                    <xdr:rowOff>106680</xdr:rowOff>
                  </from>
                  <to>
                    <xdr:col>15</xdr:col>
                    <xdr:colOff>182880</xdr:colOff>
                    <xdr:row>7</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J23"/>
  <sheetViews>
    <sheetView view="pageBreakPreview" zoomScale="60" workbookViewId="0">
      <selection activeCell="C13" sqref="C8:J13"/>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5" width="8.88671875" style="42"/>
    <col min="16" max="16" width="4.77734375" style="42" customWidth="1"/>
    <col min="17" max="16384" width="8.88671875" style="42"/>
  </cols>
  <sheetData>
    <row r="1" spans="1:10" ht="42.6" customHeight="1">
      <c r="A1" s="124" t="s">
        <v>281</v>
      </c>
      <c r="B1" s="125"/>
      <c r="C1" s="126" t="s">
        <v>282</v>
      </c>
      <c r="D1" s="127"/>
      <c r="E1" s="127"/>
      <c r="F1" s="127"/>
      <c r="G1" s="127"/>
      <c r="H1" s="128"/>
      <c r="I1" s="56"/>
      <c r="J1" s="129"/>
    </row>
    <row r="2" spans="1:10" ht="18" customHeight="1">
      <c r="A2" s="124" t="s">
        <v>283</v>
      </c>
      <c r="B2" s="125"/>
      <c r="C2" s="132" t="s">
        <v>284</v>
      </c>
      <c r="D2" s="132"/>
      <c r="E2" s="132"/>
      <c r="F2" s="132"/>
      <c r="G2" s="132"/>
      <c r="H2" s="133"/>
      <c r="I2" s="56"/>
      <c r="J2" s="130"/>
    </row>
    <row r="3" spans="1:10" ht="18" customHeight="1">
      <c r="A3" s="124" t="s">
        <v>285</v>
      </c>
      <c r="B3" s="125"/>
      <c r="C3" s="132" t="s">
        <v>286</v>
      </c>
      <c r="D3" s="132"/>
      <c r="E3" s="132"/>
      <c r="F3" s="132"/>
      <c r="G3" s="132"/>
      <c r="H3" s="133"/>
      <c r="I3" s="56"/>
      <c r="J3" s="131"/>
    </row>
    <row r="4" spans="1:10" ht="23.4">
      <c r="A4" s="124" t="s">
        <v>287</v>
      </c>
      <c r="B4" s="125"/>
      <c r="C4" s="134" t="s">
        <v>288</v>
      </c>
      <c r="D4" s="135"/>
      <c r="E4" s="135"/>
      <c r="F4" s="135"/>
      <c r="G4" s="136"/>
      <c r="H4" s="57" t="s">
        <v>289</v>
      </c>
      <c r="I4" s="57" t="s">
        <v>321</v>
      </c>
      <c r="J4" s="58" t="str">
        <f>IF(WORK_PLACE2!$K$6=1,"T1",IF(WORK_PLACE2!$K$6=2,"T2","T3"))</f>
        <v>T3</v>
      </c>
    </row>
    <row r="5" spans="1:10" ht="24.6" customHeight="1">
      <c r="A5" s="137" t="s">
        <v>290</v>
      </c>
      <c r="B5" s="138"/>
      <c r="C5" s="139" t="s">
        <v>291</v>
      </c>
      <c r="D5" s="139"/>
      <c r="E5" s="140" t="s">
        <v>292</v>
      </c>
      <c r="F5" s="141"/>
      <c r="G5" s="142"/>
      <c r="H5" s="57" t="s">
        <v>293</v>
      </c>
      <c r="I5" s="57" t="s">
        <v>322</v>
      </c>
      <c r="J5" s="73">
        <f>WORK_PLACE2!$F$51</f>
        <v>0</v>
      </c>
    </row>
    <row r="6" spans="1:10" ht="15">
      <c r="A6" s="121" t="s">
        <v>294</v>
      </c>
      <c r="B6" s="121" t="s">
        <v>295</v>
      </c>
      <c r="C6" s="59" t="s">
        <v>331</v>
      </c>
      <c r="D6" s="59" t="s">
        <v>332</v>
      </c>
      <c r="E6" s="59" t="s">
        <v>333</v>
      </c>
      <c r="F6" s="59" t="s">
        <v>334</v>
      </c>
      <c r="G6" s="59" t="s">
        <v>335</v>
      </c>
      <c r="H6" s="59" t="s">
        <v>336</v>
      </c>
      <c r="I6" s="59" t="s">
        <v>337</v>
      </c>
      <c r="J6" s="60" t="s">
        <v>337</v>
      </c>
    </row>
    <row r="7" spans="1:10" ht="15.6">
      <c r="A7" s="122"/>
      <c r="B7" s="122"/>
      <c r="C7" s="61" t="s">
        <v>339</v>
      </c>
      <c r="D7" s="61" t="s">
        <v>340</v>
      </c>
      <c r="E7" s="61" t="s">
        <v>297</v>
      </c>
      <c r="F7" s="61" t="s">
        <v>298</v>
      </c>
      <c r="G7" s="61" t="s">
        <v>299</v>
      </c>
      <c r="H7" s="61" t="s">
        <v>341</v>
      </c>
      <c r="I7" s="61" t="s">
        <v>342</v>
      </c>
      <c r="J7" s="62" t="s">
        <v>343</v>
      </c>
    </row>
    <row r="8" spans="1:10" ht="15">
      <c r="A8" s="143">
        <f>WORK_PLACE!I8</f>
        <v>45673</v>
      </c>
      <c r="B8" s="65">
        <v>1</v>
      </c>
      <c r="C8" s="63"/>
      <c r="D8" s="63"/>
      <c r="E8" s="63"/>
      <c r="F8" s="63"/>
      <c r="G8" s="63"/>
      <c r="H8" s="63"/>
      <c r="I8" s="64"/>
      <c r="J8" s="81"/>
    </row>
    <row r="9" spans="1:10" ht="15">
      <c r="A9" s="144"/>
      <c r="B9" s="65"/>
      <c r="C9" s="63"/>
      <c r="D9" s="63"/>
      <c r="E9" s="63"/>
      <c r="F9" s="63"/>
      <c r="G9" s="63"/>
      <c r="H9" s="63"/>
      <c r="I9" s="64"/>
      <c r="J9" s="81"/>
    </row>
    <row r="10" spans="1:10" ht="15">
      <c r="A10" s="145">
        <f>A8+1</f>
        <v>45674</v>
      </c>
      <c r="B10" s="65">
        <v>2</v>
      </c>
      <c r="C10" s="63"/>
      <c r="D10" s="63"/>
      <c r="E10" s="63"/>
      <c r="F10" s="63"/>
      <c r="G10" s="63"/>
      <c r="H10" s="63"/>
      <c r="I10" s="64"/>
      <c r="J10" s="81"/>
    </row>
    <row r="11" spans="1:10" ht="15">
      <c r="A11" s="144"/>
      <c r="B11" s="65"/>
      <c r="C11" s="63"/>
      <c r="D11" s="63"/>
      <c r="E11" s="63"/>
      <c r="F11" s="63"/>
      <c r="G11" s="63"/>
      <c r="H11" s="63"/>
      <c r="I11" s="64"/>
      <c r="J11" s="81"/>
    </row>
    <row r="12" spans="1:10" ht="15">
      <c r="A12" s="145">
        <f>A8+2</f>
        <v>45675</v>
      </c>
      <c r="B12" s="65">
        <v>3</v>
      </c>
      <c r="C12" s="63"/>
      <c r="D12" s="63"/>
      <c r="E12" s="63"/>
      <c r="F12" s="63"/>
      <c r="G12" s="63"/>
      <c r="H12" s="63"/>
      <c r="I12" s="64"/>
      <c r="J12" s="81"/>
    </row>
    <row r="13" spans="1:10" ht="15">
      <c r="A13" s="122"/>
      <c r="B13" s="65"/>
      <c r="C13" s="63"/>
      <c r="D13" s="63"/>
      <c r="E13" s="63"/>
      <c r="F13" s="63"/>
      <c r="G13" s="63"/>
      <c r="H13" s="63"/>
      <c r="I13" s="64"/>
      <c r="J13" s="81"/>
    </row>
    <row r="14" spans="1:10" ht="19.95" customHeight="1">
      <c r="A14" s="66" t="s">
        <v>303</v>
      </c>
      <c r="B14" s="146" t="s">
        <v>304</v>
      </c>
      <c r="C14" s="147"/>
      <c r="D14" s="63" t="s">
        <v>305</v>
      </c>
      <c r="E14" s="63" t="s">
        <v>306</v>
      </c>
      <c r="F14" s="63" t="s">
        <v>307</v>
      </c>
      <c r="G14" s="146" t="s">
        <v>308</v>
      </c>
      <c r="H14" s="148"/>
      <c r="I14" s="148"/>
      <c r="J14" s="147"/>
    </row>
    <row r="15" spans="1:10" ht="15">
      <c r="A15" s="67"/>
      <c r="B15" s="68"/>
      <c r="C15" s="68"/>
      <c r="D15" s="69"/>
      <c r="E15" s="69"/>
      <c r="F15" s="69"/>
      <c r="G15" s="69"/>
      <c r="H15" s="70"/>
      <c r="I15" s="69"/>
      <c r="J15" s="149"/>
    </row>
    <row r="16" spans="1:10" ht="15.6">
      <c r="A16" s="71"/>
      <c r="B16" s="151" t="s">
        <v>309</v>
      </c>
      <c r="C16" s="152"/>
      <c r="D16" s="71"/>
      <c r="E16" s="151" t="s">
        <v>310</v>
      </c>
      <c r="F16" s="152"/>
      <c r="G16" s="71"/>
      <c r="H16" s="151" t="s">
        <v>311</v>
      </c>
      <c r="I16" s="152"/>
      <c r="J16" s="150"/>
    </row>
    <row r="17" spans="1:10" ht="15.6">
      <c r="A17" s="153" t="s">
        <v>312</v>
      </c>
      <c r="B17" s="153"/>
      <c r="C17" s="153"/>
      <c r="D17" s="153"/>
      <c r="E17" s="71"/>
      <c r="F17" s="71"/>
      <c r="G17" s="71"/>
      <c r="H17" s="71"/>
      <c r="I17" s="72"/>
      <c r="J17" s="150"/>
    </row>
    <row r="18" spans="1:10" ht="15.6">
      <c r="A18" s="153" t="s">
        <v>313</v>
      </c>
      <c r="B18" s="153"/>
      <c r="C18" s="153"/>
      <c r="D18" s="153"/>
      <c r="E18" s="71"/>
      <c r="F18" s="71"/>
      <c r="G18" s="71"/>
      <c r="H18" s="71"/>
      <c r="I18" s="71"/>
      <c r="J18" s="150"/>
    </row>
    <row r="19" spans="1:10" ht="15.6">
      <c r="A19" s="153" t="s">
        <v>314</v>
      </c>
      <c r="B19" s="153"/>
      <c r="C19" s="153"/>
      <c r="D19" s="153"/>
      <c r="E19" s="71"/>
      <c r="F19" s="71"/>
      <c r="G19" s="71"/>
      <c r="H19" s="71"/>
      <c r="I19" s="71"/>
      <c r="J19" s="150"/>
    </row>
    <row r="20" spans="1:10" ht="15.6">
      <c r="A20" s="153" t="s">
        <v>315</v>
      </c>
      <c r="B20" s="153"/>
      <c r="C20" s="153"/>
      <c r="D20" s="153"/>
      <c r="E20" s="71"/>
      <c r="F20" s="71"/>
      <c r="G20" s="71"/>
      <c r="H20" s="71"/>
      <c r="I20" s="71"/>
      <c r="J20" s="150"/>
    </row>
    <row r="21" spans="1:10" ht="15.6">
      <c r="A21" s="153" t="s">
        <v>316</v>
      </c>
      <c r="B21" s="153"/>
      <c r="C21" s="153"/>
      <c r="D21" s="153"/>
      <c r="E21" s="71"/>
      <c r="F21" s="71"/>
      <c r="G21" s="71"/>
      <c r="H21" s="71"/>
      <c r="I21" s="71"/>
      <c r="J21" s="150"/>
    </row>
    <row r="22" spans="1:10" ht="15.6">
      <c r="A22" s="153" t="s">
        <v>317</v>
      </c>
      <c r="B22" s="153"/>
      <c r="C22" s="153"/>
      <c r="D22" s="153"/>
      <c r="E22" s="71"/>
      <c r="F22" s="71"/>
      <c r="G22" s="71"/>
      <c r="H22" s="71"/>
      <c r="I22" s="71"/>
      <c r="J22" s="150"/>
    </row>
    <row r="23" spans="1:10" ht="15.6">
      <c r="A23" s="153" t="s">
        <v>318</v>
      </c>
      <c r="B23" s="153"/>
      <c r="C23" s="153"/>
      <c r="D23" s="153"/>
      <c r="E23" s="71"/>
      <c r="F23" s="71"/>
      <c r="G23" s="71"/>
      <c r="H23" s="71"/>
      <c r="I23" s="71"/>
      <c r="J23" s="150"/>
    </row>
  </sheetData>
  <sheetProtection password="CC3D" sheet="1" objects="1" scenarios="1"/>
  <mergeCells count="30">
    <mergeCell ref="A23:D23"/>
    <mergeCell ref="J15:J23"/>
    <mergeCell ref="B16:C16"/>
    <mergeCell ref="E16:F16"/>
    <mergeCell ref="H16:I16"/>
    <mergeCell ref="A17:D17"/>
    <mergeCell ref="A18:D18"/>
    <mergeCell ref="A19:D19"/>
    <mergeCell ref="A20:D20"/>
    <mergeCell ref="A21:D21"/>
    <mergeCell ref="A22:D22"/>
    <mergeCell ref="A8:A9"/>
    <mergeCell ref="A10:A11"/>
    <mergeCell ref="A12:A13"/>
    <mergeCell ref="B14:C14"/>
    <mergeCell ref="G14:J14"/>
    <mergeCell ref="A6:A7"/>
    <mergeCell ref="B6:B7"/>
    <mergeCell ref="A1:B1"/>
    <mergeCell ref="C1:H1"/>
    <mergeCell ref="J1:J3"/>
    <mergeCell ref="A2:B2"/>
    <mergeCell ref="C2:H2"/>
    <mergeCell ref="A3:B3"/>
    <mergeCell ref="C3:H3"/>
    <mergeCell ref="A4:B4"/>
    <mergeCell ref="C4:G4"/>
    <mergeCell ref="A5:B5"/>
    <mergeCell ref="C5:D5"/>
    <mergeCell ref="E5:G5"/>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COUNT_Button1_Click">
                <anchor moveWithCells="1" sizeWithCells="1">
                  <from>
                    <xdr:col>11</xdr:col>
                    <xdr:colOff>60960</xdr:colOff>
                    <xdr:row>3</xdr:row>
                    <xdr:rowOff>76200</xdr:rowOff>
                  </from>
                  <to>
                    <xdr:col>15</xdr:col>
                    <xdr:colOff>304800</xdr:colOff>
                    <xdr:row>5</xdr:row>
                    <xdr:rowOff>15240</xdr:rowOff>
                  </to>
                </anchor>
              </controlPr>
            </control>
          </mc:Choice>
        </mc:AlternateContent>
        <mc:AlternateContent xmlns:mc="http://schemas.openxmlformats.org/markup-compatibility/2006">
          <mc:Choice Requires="x14">
            <control shapeId="39938" r:id="rId5" name="Button 2">
              <controlPr defaultSize="0" print="0" autoFill="0" autoPict="0" macro="[0]!SCHEDULE86_Button2_Click">
                <anchor moveWithCells="1" sizeWithCells="1">
                  <from>
                    <xdr:col>11</xdr:col>
                    <xdr:colOff>76200</xdr:colOff>
                    <xdr:row>0</xdr:row>
                    <xdr:rowOff>304800</xdr:rowOff>
                  </from>
                  <to>
                    <xdr:col>15</xdr:col>
                    <xdr:colOff>274320</xdr:colOff>
                    <xdr:row>2</xdr:row>
                    <xdr:rowOff>91440</xdr:rowOff>
                  </to>
                </anchor>
              </controlPr>
            </control>
          </mc:Choice>
        </mc:AlternateContent>
        <mc:AlternateContent xmlns:mc="http://schemas.openxmlformats.org/markup-compatibility/2006">
          <mc:Choice Requires="x14">
            <control shapeId="39940" r:id="rId6" name="Button 4">
              <controlPr defaultSize="0" print="0" autoFill="0" autoPict="0" macro="[0]!Button5_Click">
                <anchor moveWithCells="1" sizeWithCells="1">
                  <from>
                    <xdr:col>11</xdr:col>
                    <xdr:colOff>76200</xdr:colOff>
                    <xdr:row>6</xdr:row>
                    <xdr:rowOff>15240</xdr:rowOff>
                  </from>
                  <to>
                    <xdr:col>15</xdr:col>
                    <xdr:colOff>281940</xdr:colOff>
                    <xdr:row>7</xdr:row>
                    <xdr:rowOff>381000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J21"/>
  <sheetViews>
    <sheetView view="pageBreakPreview" zoomScale="60" workbookViewId="0">
      <selection activeCell="C8" sqref="C8:J11"/>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5" width="8.88671875" style="42"/>
    <col min="16" max="16" width="4.44140625" style="42" customWidth="1"/>
    <col min="17" max="16384" width="8.88671875" style="42"/>
  </cols>
  <sheetData>
    <row r="1" spans="1:10" ht="42.6" customHeight="1">
      <c r="A1" s="124" t="s">
        <v>281</v>
      </c>
      <c r="B1" s="125"/>
      <c r="C1" s="126" t="s">
        <v>282</v>
      </c>
      <c r="D1" s="127"/>
      <c r="E1" s="127"/>
      <c r="F1" s="127"/>
      <c r="G1" s="127"/>
      <c r="H1" s="128"/>
      <c r="I1" s="56"/>
      <c r="J1" s="129"/>
    </row>
    <row r="2" spans="1:10" ht="18" customHeight="1">
      <c r="A2" s="124" t="s">
        <v>283</v>
      </c>
      <c r="B2" s="125"/>
      <c r="C2" s="132" t="s">
        <v>284</v>
      </c>
      <c r="D2" s="132"/>
      <c r="E2" s="132"/>
      <c r="F2" s="132"/>
      <c r="G2" s="132"/>
      <c r="H2" s="133"/>
      <c r="I2" s="56"/>
      <c r="J2" s="130"/>
    </row>
    <row r="3" spans="1:10" ht="18" customHeight="1">
      <c r="A3" s="124" t="s">
        <v>285</v>
      </c>
      <c r="B3" s="125"/>
      <c r="C3" s="132" t="s">
        <v>286</v>
      </c>
      <c r="D3" s="132"/>
      <c r="E3" s="132"/>
      <c r="F3" s="132"/>
      <c r="G3" s="132"/>
      <c r="H3" s="133"/>
      <c r="I3" s="56"/>
      <c r="J3" s="131"/>
    </row>
    <row r="4" spans="1:10" ht="23.4">
      <c r="A4" s="124" t="s">
        <v>287</v>
      </c>
      <c r="B4" s="125"/>
      <c r="C4" s="134" t="s">
        <v>288</v>
      </c>
      <c r="D4" s="135"/>
      <c r="E4" s="135"/>
      <c r="F4" s="135"/>
      <c r="G4" s="136"/>
      <c r="H4" s="57" t="s">
        <v>289</v>
      </c>
      <c r="I4" s="57" t="s">
        <v>321</v>
      </c>
      <c r="J4" s="58" t="str">
        <f>IF(WORK_PLACE2!$K$6=1,"T1",IF(WORK_PLACE2!$K$6=2,"T2","T3"))</f>
        <v>T3</v>
      </c>
    </row>
    <row r="5" spans="1:10" ht="24.6" customHeight="1">
      <c r="A5" s="137" t="s">
        <v>290</v>
      </c>
      <c r="B5" s="138"/>
      <c r="C5" s="139" t="s">
        <v>291</v>
      </c>
      <c r="D5" s="139"/>
      <c r="E5" s="140" t="s">
        <v>292</v>
      </c>
      <c r="F5" s="141"/>
      <c r="G5" s="142"/>
      <c r="H5" s="57" t="s">
        <v>293</v>
      </c>
      <c r="I5" s="57" t="s">
        <v>322</v>
      </c>
      <c r="J5" s="73">
        <f>WORK_PLACE2!$F$51</f>
        <v>0</v>
      </c>
    </row>
    <row r="6" spans="1:10" ht="15">
      <c r="A6" s="121" t="s">
        <v>294</v>
      </c>
      <c r="B6" s="121" t="s">
        <v>295</v>
      </c>
      <c r="C6" s="59" t="s">
        <v>331</v>
      </c>
      <c r="D6" s="59" t="s">
        <v>332</v>
      </c>
      <c r="E6" s="59" t="s">
        <v>333</v>
      </c>
      <c r="F6" s="59" t="s">
        <v>334</v>
      </c>
      <c r="G6" s="59" t="s">
        <v>335</v>
      </c>
      <c r="H6" s="59" t="s">
        <v>336</v>
      </c>
      <c r="I6" s="59" t="s">
        <v>337</v>
      </c>
      <c r="J6" s="60" t="s">
        <v>337</v>
      </c>
    </row>
    <row r="7" spans="1:10" ht="15.6">
      <c r="A7" s="122"/>
      <c r="B7" s="122"/>
      <c r="C7" s="61" t="s">
        <v>339</v>
      </c>
      <c r="D7" s="61" t="s">
        <v>340</v>
      </c>
      <c r="E7" s="61" t="s">
        <v>297</v>
      </c>
      <c r="F7" s="61" t="s">
        <v>298</v>
      </c>
      <c r="G7" s="61" t="s">
        <v>299</v>
      </c>
      <c r="H7" s="61" t="s">
        <v>341</v>
      </c>
      <c r="I7" s="61" t="s">
        <v>342</v>
      </c>
      <c r="J7" s="62" t="s">
        <v>343</v>
      </c>
    </row>
    <row r="8" spans="1:10" ht="15">
      <c r="A8" s="143">
        <f>WORK_PLACE!I8</f>
        <v>45673</v>
      </c>
      <c r="B8" s="65">
        <v>1</v>
      </c>
      <c r="C8" s="63"/>
      <c r="D8" s="63"/>
      <c r="E8" s="63"/>
      <c r="F8" s="63"/>
      <c r="G8" s="63"/>
      <c r="H8" s="63"/>
      <c r="I8" s="64"/>
      <c r="J8" s="81"/>
    </row>
    <row r="9" spans="1:10" ht="15">
      <c r="A9" s="144"/>
      <c r="B9" s="65"/>
      <c r="C9" s="63"/>
      <c r="D9" s="63"/>
      <c r="E9" s="63"/>
      <c r="F9" s="63"/>
      <c r="G9" s="63"/>
      <c r="H9" s="63"/>
      <c r="I9" s="64"/>
      <c r="J9" s="81"/>
    </row>
    <row r="10" spans="1:10" ht="15">
      <c r="A10" s="145">
        <f>A8+1</f>
        <v>45674</v>
      </c>
      <c r="B10" s="65">
        <v>2</v>
      </c>
      <c r="C10" s="63"/>
      <c r="D10" s="63"/>
      <c r="E10" s="63"/>
      <c r="F10" s="63"/>
      <c r="G10" s="63"/>
      <c r="H10" s="63"/>
      <c r="I10" s="64"/>
      <c r="J10" s="81"/>
    </row>
    <row r="11" spans="1:10" ht="15">
      <c r="A11" s="144"/>
      <c r="B11" s="65"/>
      <c r="C11" s="63"/>
      <c r="D11" s="63"/>
      <c r="E11" s="63"/>
      <c r="F11" s="63"/>
      <c r="G11" s="63"/>
      <c r="H11" s="63"/>
      <c r="I11" s="64"/>
      <c r="J11" s="81"/>
    </row>
    <row r="12" spans="1:10" ht="19.95" customHeight="1">
      <c r="A12" s="66" t="s">
        <v>303</v>
      </c>
      <c r="B12" s="146" t="s">
        <v>304</v>
      </c>
      <c r="C12" s="147"/>
      <c r="D12" s="63" t="s">
        <v>305</v>
      </c>
      <c r="E12" s="63" t="s">
        <v>306</v>
      </c>
      <c r="F12" s="63" t="s">
        <v>307</v>
      </c>
      <c r="G12" s="146" t="s">
        <v>308</v>
      </c>
      <c r="H12" s="148"/>
      <c r="I12" s="148"/>
      <c r="J12" s="147"/>
    </row>
    <row r="13" spans="1:10" ht="15">
      <c r="A13" s="67"/>
      <c r="B13" s="68"/>
      <c r="C13" s="68"/>
      <c r="D13" s="69"/>
      <c r="E13" s="69"/>
      <c r="F13" s="69"/>
      <c r="G13" s="69"/>
      <c r="H13" s="70"/>
      <c r="I13" s="69"/>
      <c r="J13" s="149"/>
    </row>
    <row r="14" spans="1:10" ht="15.6">
      <c r="A14" s="71"/>
      <c r="B14" s="151" t="s">
        <v>309</v>
      </c>
      <c r="C14" s="152"/>
      <c r="D14" s="71"/>
      <c r="E14" s="151" t="s">
        <v>310</v>
      </c>
      <c r="F14" s="152"/>
      <c r="G14" s="71"/>
      <c r="H14" s="151" t="s">
        <v>311</v>
      </c>
      <c r="I14" s="152"/>
      <c r="J14" s="150"/>
    </row>
    <row r="15" spans="1:10" ht="15.6">
      <c r="A15" s="153" t="s">
        <v>312</v>
      </c>
      <c r="B15" s="153"/>
      <c r="C15" s="153"/>
      <c r="D15" s="153"/>
      <c r="E15" s="71"/>
      <c r="F15" s="71"/>
      <c r="G15" s="71"/>
      <c r="H15" s="71"/>
      <c r="I15" s="72"/>
      <c r="J15" s="150"/>
    </row>
    <row r="16" spans="1:10" ht="15.6">
      <c r="A16" s="153" t="s">
        <v>313</v>
      </c>
      <c r="B16" s="153"/>
      <c r="C16" s="153"/>
      <c r="D16" s="153"/>
      <c r="E16" s="71"/>
      <c r="F16" s="71"/>
      <c r="G16" s="71"/>
      <c r="H16" s="71"/>
      <c r="I16" s="71"/>
      <c r="J16" s="150"/>
    </row>
    <row r="17" spans="1:10" ht="15.6">
      <c r="A17" s="153" t="s">
        <v>314</v>
      </c>
      <c r="B17" s="153"/>
      <c r="C17" s="153"/>
      <c r="D17" s="153"/>
      <c r="E17" s="71"/>
      <c r="F17" s="71"/>
      <c r="G17" s="71"/>
      <c r="H17" s="71"/>
      <c r="I17" s="71"/>
      <c r="J17" s="150"/>
    </row>
    <row r="18" spans="1:10" ht="15.6">
      <c r="A18" s="153" t="s">
        <v>315</v>
      </c>
      <c r="B18" s="153"/>
      <c r="C18" s="153"/>
      <c r="D18" s="153"/>
      <c r="E18" s="71"/>
      <c r="F18" s="71"/>
      <c r="G18" s="71"/>
      <c r="H18" s="71"/>
      <c r="I18" s="71"/>
      <c r="J18" s="150"/>
    </row>
    <row r="19" spans="1:10" ht="15.6">
      <c r="A19" s="153" t="s">
        <v>316</v>
      </c>
      <c r="B19" s="153"/>
      <c r="C19" s="153"/>
      <c r="D19" s="153"/>
      <c r="E19" s="71"/>
      <c r="F19" s="71"/>
      <c r="G19" s="71"/>
      <c r="H19" s="71"/>
      <c r="I19" s="71"/>
      <c r="J19" s="150"/>
    </row>
    <row r="20" spans="1:10" ht="15.6">
      <c r="A20" s="153" t="s">
        <v>317</v>
      </c>
      <c r="B20" s="153"/>
      <c r="C20" s="153"/>
      <c r="D20" s="153"/>
      <c r="E20" s="71"/>
      <c r="F20" s="71"/>
      <c r="G20" s="71"/>
      <c r="H20" s="71"/>
      <c r="I20" s="71"/>
      <c r="J20" s="150"/>
    </row>
    <row r="21" spans="1:10" ht="15.6">
      <c r="A21" s="153" t="s">
        <v>318</v>
      </c>
      <c r="B21" s="153"/>
      <c r="C21" s="153"/>
      <c r="D21" s="153"/>
      <c r="E21" s="71"/>
      <c r="F21" s="71"/>
      <c r="G21" s="71"/>
      <c r="H21" s="71"/>
      <c r="I21" s="71"/>
      <c r="J21" s="150"/>
    </row>
  </sheetData>
  <sheetProtection password="CC3D" sheet="1" objects="1" scenarios="1"/>
  <mergeCells count="29">
    <mergeCell ref="A21:D21"/>
    <mergeCell ref="A8:A9"/>
    <mergeCell ref="A10:A11"/>
    <mergeCell ref="B12:C12"/>
    <mergeCell ref="G12:J12"/>
    <mergeCell ref="J13:J21"/>
    <mergeCell ref="B14:C14"/>
    <mergeCell ref="E14:F14"/>
    <mergeCell ref="H14:I14"/>
    <mergeCell ref="A15:D15"/>
    <mergeCell ref="A16:D16"/>
    <mergeCell ref="A17:D17"/>
    <mergeCell ref="A18:D18"/>
    <mergeCell ref="A19:D19"/>
    <mergeCell ref="A20:D20"/>
    <mergeCell ref="A6:A7"/>
    <mergeCell ref="B6:B7"/>
    <mergeCell ref="A1:B1"/>
    <mergeCell ref="C1:H1"/>
    <mergeCell ref="J1:J3"/>
    <mergeCell ref="A2:B2"/>
    <mergeCell ref="C2:H2"/>
    <mergeCell ref="A3:B3"/>
    <mergeCell ref="C3:H3"/>
    <mergeCell ref="A4:B4"/>
    <mergeCell ref="C4:G4"/>
    <mergeCell ref="A5:B5"/>
    <mergeCell ref="C5:D5"/>
    <mergeCell ref="E5:G5"/>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COUNT_Button1_Click">
                <anchor moveWithCells="1" sizeWithCells="1">
                  <from>
                    <xdr:col>11</xdr:col>
                    <xdr:colOff>53340</xdr:colOff>
                    <xdr:row>3</xdr:row>
                    <xdr:rowOff>60960</xdr:rowOff>
                  </from>
                  <to>
                    <xdr:col>15</xdr:col>
                    <xdr:colOff>236220</xdr:colOff>
                    <xdr:row>5</xdr:row>
                    <xdr:rowOff>60960</xdr:rowOff>
                  </to>
                </anchor>
              </controlPr>
            </control>
          </mc:Choice>
        </mc:AlternateContent>
        <mc:AlternateContent xmlns:mc="http://schemas.openxmlformats.org/markup-compatibility/2006">
          <mc:Choice Requires="x14">
            <control shapeId="40962" r:id="rId5" name="Button 2">
              <controlPr defaultSize="0" print="0" autoFill="0" autoPict="0" macro="[0]!SCHEDULE86_Button2_Click">
                <anchor moveWithCells="1" sizeWithCells="1">
                  <from>
                    <xdr:col>11</xdr:col>
                    <xdr:colOff>53340</xdr:colOff>
                    <xdr:row>0</xdr:row>
                    <xdr:rowOff>213360</xdr:rowOff>
                  </from>
                  <to>
                    <xdr:col>15</xdr:col>
                    <xdr:colOff>251460</xdr:colOff>
                    <xdr:row>2</xdr:row>
                    <xdr:rowOff>76200</xdr:rowOff>
                  </to>
                </anchor>
              </controlPr>
            </control>
          </mc:Choice>
        </mc:AlternateContent>
        <mc:AlternateContent xmlns:mc="http://schemas.openxmlformats.org/markup-compatibility/2006">
          <mc:Choice Requires="x14">
            <control shapeId="40964" r:id="rId6" name="Button 4">
              <controlPr defaultSize="0" print="0" autoFill="0" autoPict="0" macro="[0]!Button5_Click">
                <anchor moveWithCells="1" sizeWithCells="1">
                  <from>
                    <xdr:col>11</xdr:col>
                    <xdr:colOff>53340</xdr:colOff>
                    <xdr:row>6</xdr:row>
                    <xdr:rowOff>60960</xdr:rowOff>
                  </from>
                  <to>
                    <xdr:col>15</xdr:col>
                    <xdr:colOff>236220</xdr:colOff>
                    <xdr:row>7</xdr:row>
                    <xdr:rowOff>426720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J19"/>
  <sheetViews>
    <sheetView view="pageBreakPreview" zoomScale="60" workbookViewId="0">
      <selection activeCell="D50" sqref="D50"/>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5" width="8.88671875" style="42"/>
    <col min="16" max="16" width="3.6640625" style="42" customWidth="1"/>
    <col min="17" max="16384" width="8.88671875" style="42"/>
  </cols>
  <sheetData>
    <row r="1" spans="1:10" ht="42.6" customHeight="1">
      <c r="A1" s="124" t="s">
        <v>281</v>
      </c>
      <c r="B1" s="125"/>
      <c r="C1" s="126" t="s">
        <v>282</v>
      </c>
      <c r="D1" s="127"/>
      <c r="E1" s="127"/>
      <c r="F1" s="127"/>
      <c r="G1" s="127"/>
      <c r="H1" s="128"/>
      <c r="I1" s="56"/>
      <c r="J1" s="129"/>
    </row>
    <row r="2" spans="1:10" ht="18" customHeight="1">
      <c r="A2" s="124" t="s">
        <v>283</v>
      </c>
      <c r="B2" s="125"/>
      <c r="C2" s="132" t="s">
        <v>284</v>
      </c>
      <c r="D2" s="132"/>
      <c r="E2" s="132"/>
      <c r="F2" s="132"/>
      <c r="G2" s="132"/>
      <c r="H2" s="133"/>
      <c r="I2" s="56"/>
      <c r="J2" s="130"/>
    </row>
    <row r="3" spans="1:10" ht="18" customHeight="1">
      <c r="A3" s="124" t="s">
        <v>285</v>
      </c>
      <c r="B3" s="125"/>
      <c r="C3" s="132" t="s">
        <v>286</v>
      </c>
      <c r="D3" s="132"/>
      <c r="E3" s="132"/>
      <c r="F3" s="132"/>
      <c r="G3" s="132"/>
      <c r="H3" s="133"/>
      <c r="I3" s="56"/>
      <c r="J3" s="131"/>
    </row>
    <row r="4" spans="1:10" ht="23.4">
      <c r="A4" s="124" t="s">
        <v>287</v>
      </c>
      <c r="B4" s="125"/>
      <c r="C4" s="134" t="s">
        <v>288</v>
      </c>
      <c r="D4" s="135"/>
      <c r="E4" s="135"/>
      <c r="F4" s="135"/>
      <c r="G4" s="136"/>
      <c r="H4" s="57" t="s">
        <v>289</v>
      </c>
      <c r="I4" s="57" t="s">
        <v>321</v>
      </c>
      <c r="J4" s="58" t="str">
        <f>IF(WORK_PLACE2!$K$6=1,"T1",IF(WORK_PLACE2!$K$6=2,"T2","T3"))</f>
        <v>T3</v>
      </c>
    </row>
    <row r="5" spans="1:10" ht="24.6" customHeight="1">
      <c r="A5" s="137" t="s">
        <v>290</v>
      </c>
      <c r="B5" s="138"/>
      <c r="C5" s="139" t="s">
        <v>291</v>
      </c>
      <c r="D5" s="139"/>
      <c r="E5" s="140" t="s">
        <v>292</v>
      </c>
      <c r="F5" s="141"/>
      <c r="G5" s="142"/>
      <c r="H5" s="57" t="s">
        <v>293</v>
      </c>
      <c r="I5" s="57" t="s">
        <v>322</v>
      </c>
      <c r="J5" s="73">
        <f>WORK_PLACE2!$F$51</f>
        <v>0</v>
      </c>
    </row>
    <row r="6" spans="1:10" ht="15">
      <c r="A6" s="121" t="s">
        <v>294</v>
      </c>
      <c r="B6" s="121" t="s">
        <v>295</v>
      </c>
      <c r="C6" s="59" t="s">
        <v>331</v>
      </c>
      <c r="D6" s="59" t="s">
        <v>332</v>
      </c>
      <c r="E6" s="59" t="s">
        <v>333</v>
      </c>
      <c r="F6" s="59" t="s">
        <v>334</v>
      </c>
      <c r="G6" s="59" t="s">
        <v>335</v>
      </c>
      <c r="H6" s="59" t="s">
        <v>336</v>
      </c>
      <c r="I6" s="59" t="s">
        <v>337</v>
      </c>
      <c r="J6" s="60" t="s">
        <v>337</v>
      </c>
    </row>
    <row r="7" spans="1:10" ht="15.6">
      <c r="A7" s="122"/>
      <c r="B7" s="122"/>
      <c r="C7" s="61" t="s">
        <v>339</v>
      </c>
      <c r="D7" s="61" t="s">
        <v>340</v>
      </c>
      <c r="E7" s="61" t="s">
        <v>297</v>
      </c>
      <c r="F7" s="61" t="s">
        <v>298</v>
      </c>
      <c r="G7" s="61" t="s">
        <v>299</v>
      </c>
      <c r="H7" s="61" t="s">
        <v>341</v>
      </c>
      <c r="I7" s="61" t="s">
        <v>342</v>
      </c>
      <c r="J7" s="62" t="s">
        <v>343</v>
      </c>
    </row>
    <row r="8" spans="1:10" ht="15">
      <c r="A8" s="143">
        <f>WORK_PLACE!I8</f>
        <v>45673</v>
      </c>
      <c r="B8" s="65">
        <v>1</v>
      </c>
      <c r="C8" s="63"/>
      <c r="D8" s="63"/>
      <c r="E8" s="63"/>
      <c r="F8" s="63"/>
      <c r="G8" s="63"/>
      <c r="H8" s="63"/>
      <c r="I8" s="64"/>
      <c r="J8" s="81"/>
    </row>
    <row r="9" spans="1:10" ht="15">
      <c r="A9" s="144"/>
      <c r="B9" s="65"/>
      <c r="C9" s="63"/>
      <c r="D9" s="63"/>
      <c r="E9" s="63"/>
      <c r="F9" s="63"/>
      <c r="G9" s="63"/>
      <c r="H9" s="63"/>
      <c r="I9" s="64"/>
      <c r="J9" s="81"/>
    </row>
    <row r="10" spans="1:10" ht="19.95" customHeight="1">
      <c r="A10" s="66" t="s">
        <v>303</v>
      </c>
      <c r="B10" s="146" t="s">
        <v>304</v>
      </c>
      <c r="C10" s="147"/>
      <c r="D10" s="63" t="s">
        <v>305</v>
      </c>
      <c r="E10" s="63" t="s">
        <v>306</v>
      </c>
      <c r="F10" s="63" t="s">
        <v>307</v>
      </c>
      <c r="G10" s="146" t="s">
        <v>308</v>
      </c>
      <c r="H10" s="148"/>
      <c r="I10" s="148"/>
      <c r="J10" s="147"/>
    </row>
    <row r="11" spans="1:10" ht="15">
      <c r="A11" s="67"/>
      <c r="B11" s="68"/>
      <c r="C11" s="68"/>
      <c r="D11" s="69"/>
      <c r="E11" s="69"/>
      <c r="F11" s="69"/>
      <c r="G11" s="69"/>
      <c r="H11" s="70"/>
      <c r="I11" s="69"/>
      <c r="J11" s="149"/>
    </row>
    <row r="12" spans="1:10" ht="15.6">
      <c r="A12" s="71"/>
      <c r="B12" s="151" t="s">
        <v>309</v>
      </c>
      <c r="C12" s="152"/>
      <c r="D12" s="71"/>
      <c r="E12" s="151" t="s">
        <v>310</v>
      </c>
      <c r="F12" s="152"/>
      <c r="G12" s="71"/>
      <c r="H12" s="151" t="s">
        <v>311</v>
      </c>
      <c r="I12" s="152"/>
      <c r="J12" s="150"/>
    </row>
    <row r="13" spans="1:10" ht="15.6">
      <c r="A13" s="153" t="s">
        <v>312</v>
      </c>
      <c r="B13" s="153"/>
      <c r="C13" s="153"/>
      <c r="D13" s="153"/>
      <c r="E13" s="71"/>
      <c r="F13" s="71"/>
      <c r="G13" s="71"/>
      <c r="H13" s="71"/>
      <c r="I13" s="72"/>
      <c r="J13" s="150"/>
    </row>
    <row r="14" spans="1:10" ht="15.6">
      <c r="A14" s="153" t="s">
        <v>313</v>
      </c>
      <c r="B14" s="153"/>
      <c r="C14" s="153"/>
      <c r="D14" s="153"/>
      <c r="E14" s="71"/>
      <c r="F14" s="71"/>
      <c r="G14" s="71"/>
      <c r="H14" s="71"/>
      <c r="I14" s="71"/>
      <c r="J14" s="150"/>
    </row>
    <row r="15" spans="1:10" ht="15.6">
      <c r="A15" s="153" t="s">
        <v>314</v>
      </c>
      <c r="B15" s="153"/>
      <c r="C15" s="153"/>
      <c r="D15" s="153"/>
      <c r="E15" s="71"/>
      <c r="F15" s="71"/>
      <c r="G15" s="71"/>
      <c r="H15" s="71"/>
      <c r="I15" s="71"/>
      <c r="J15" s="150"/>
    </row>
    <row r="16" spans="1:10" ht="15.6">
      <c r="A16" s="153" t="s">
        <v>315</v>
      </c>
      <c r="B16" s="153"/>
      <c r="C16" s="153"/>
      <c r="D16" s="153"/>
      <c r="E16" s="71"/>
      <c r="F16" s="71"/>
      <c r="G16" s="71"/>
      <c r="H16" s="71"/>
      <c r="I16" s="71"/>
      <c r="J16" s="150"/>
    </row>
    <row r="17" spans="1:10" ht="15.6">
      <c r="A17" s="153" t="s">
        <v>316</v>
      </c>
      <c r="B17" s="153"/>
      <c r="C17" s="153"/>
      <c r="D17" s="153"/>
      <c r="E17" s="71"/>
      <c r="F17" s="71"/>
      <c r="G17" s="71"/>
      <c r="H17" s="71"/>
      <c r="I17" s="71"/>
      <c r="J17" s="150"/>
    </row>
    <row r="18" spans="1:10" ht="15.6">
      <c r="A18" s="153" t="s">
        <v>317</v>
      </c>
      <c r="B18" s="153"/>
      <c r="C18" s="153"/>
      <c r="D18" s="153"/>
      <c r="E18" s="71"/>
      <c r="F18" s="71"/>
      <c r="G18" s="71"/>
      <c r="H18" s="71"/>
      <c r="I18" s="71"/>
      <c r="J18" s="150"/>
    </row>
    <row r="19" spans="1:10" ht="15.6">
      <c r="A19" s="153" t="s">
        <v>318</v>
      </c>
      <c r="B19" s="153"/>
      <c r="C19" s="153"/>
      <c r="D19" s="153"/>
      <c r="E19" s="71"/>
      <c r="F19" s="71"/>
      <c r="G19" s="71"/>
      <c r="H19" s="71"/>
      <c r="I19" s="71"/>
      <c r="J19" s="150"/>
    </row>
  </sheetData>
  <sheetProtection password="CC3D" sheet="1" objects="1" scenarios="1"/>
  <mergeCells count="28">
    <mergeCell ref="A8:A9"/>
    <mergeCell ref="B10:C10"/>
    <mergeCell ref="G10:J10"/>
    <mergeCell ref="J11:J19"/>
    <mergeCell ref="B12:C12"/>
    <mergeCell ref="E12:F12"/>
    <mergeCell ref="H12:I12"/>
    <mergeCell ref="A13:D13"/>
    <mergeCell ref="A14:D14"/>
    <mergeCell ref="A15:D15"/>
    <mergeCell ref="A16:D16"/>
    <mergeCell ref="A17:D17"/>
    <mergeCell ref="A18:D18"/>
    <mergeCell ref="A19:D19"/>
    <mergeCell ref="A6:A7"/>
    <mergeCell ref="B6:B7"/>
    <mergeCell ref="A1:B1"/>
    <mergeCell ref="C1:H1"/>
    <mergeCell ref="J1:J3"/>
    <mergeCell ref="A2:B2"/>
    <mergeCell ref="C2:H2"/>
    <mergeCell ref="A3:B3"/>
    <mergeCell ref="C3:H3"/>
    <mergeCell ref="A4:B4"/>
    <mergeCell ref="C4:G4"/>
    <mergeCell ref="A5:B5"/>
    <mergeCell ref="C5:D5"/>
    <mergeCell ref="E5:G5"/>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COUNT_Button1_Click">
                <anchor moveWithCells="1" sizeWithCells="1">
                  <from>
                    <xdr:col>11</xdr:col>
                    <xdr:colOff>22860</xdr:colOff>
                    <xdr:row>3</xdr:row>
                    <xdr:rowOff>60960</xdr:rowOff>
                  </from>
                  <to>
                    <xdr:col>15</xdr:col>
                    <xdr:colOff>205740</xdr:colOff>
                    <xdr:row>5</xdr:row>
                    <xdr:rowOff>0</xdr:rowOff>
                  </to>
                </anchor>
              </controlPr>
            </control>
          </mc:Choice>
        </mc:AlternateContent>
        <mc:AlternateContent xmlns:mc="http://schemas.openxmlformats.org/markup-compatibility/2006">
          <mc:Choice Requires="x14">
            <control shapeId="41986" r:id="rId5" name="Button 2">
              <controlPr defaultSize="0" print="0" autoFill="0" autoPict="0" macro="[0]!SCHEDULE86_Button2_Click">
                <anchor moveWithCells="1" sizeWithCells="1">
                  <from>
                    <xdr:col>11</xdr:col>
                    <xdr:colOff>15240</xdr:colOff>
                    <xdr:row>0</xdr:row>
                    <xdr:rowOff>289560</xdr:rowOff>
                  </from>
                  <to>
                    <xdr:col>15</xdr:col>
                    <xdr:colOff>213360</xdr:colOff>
                    <xdr:row>2</xdr:row>
                    <xdr:rowOff>76200</xdr:rowOff>
                  </to>
                </anchor>
              </controlPr>
            </control>
          </mc:Choice>
        </mc:AlternateContent>
        <mc:AlternateContent xmlns:mc="http://schemas.openxmlformats.org/markup-compatibility/2006">
          <mc:Choice Requires="x14">
            <control shapeId="41988" r:id="rId6" name="Button 4">
              <controlPr defaultSize="0" print="0" autoFill="0" autoPict="0" macro="[0]!Button5_Click">
                <anchor moveWithCells="1" sizeWithCells="1">
                  <from>
                    <xdr:col>11</xdr:col>
                    <xdr:colOff>22860</xdr:colOff>
                    <xdr:row>6</xdr:row>
                    <xdr:rowOff>60960</xdr:rowOff>
                  </from>
                  <to>
                    <xdr:col>16</xdr:col>
                    <xdr:colOff>0</xdr:colOff>
                    <xdr:row>7</xdr:row>
                    <xdr:rowOff>426720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dimension ref="A1:I31"/>
  <sheetViews>
    <sheetView showGridLines="0" view="pageBreakPreview" zoomScale="80" zoomScaleSheetLayoutView="80" workbookViewId="0">
      <selection activeCell="L17" sqref="L17"/>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0" width="10.88671875" style="42" customWidth="1"/>
    <col min="11" max="14" width="8.88671875" style="42"/>
    <col min="15" max="15" width="3.33203125" style="42" customWidth="1"/>
    <col min="16" max="16384" width="8.88671875" style="42"/>
  </cols>
  <sheetData>
    <row r="1" spans="1:9" ht="42.6" customHeight="1">
      <c r="A1" s="124" t="s">
        <v>281</v>
      </c>
      <c r="B1" s="125"/>
      <c r="C1" s="157" t="s">
        <v>282</v>
      </c>
      <c r="D1" s="158"/>
      <c r="E1" s="158"/>
      <c r="F1" s="158"/>
      <c r="G1" s="158"/>
      <c r="H1" s="74"/>
    </row>
    <row r="2" spans="1:9" ht="18" customHeight="1">
      <c r="A2" s="124" t="s">
        <v>283</v>
      </c>
      <c r="B2" s="125"/>
      <c r="C2" s="133" t="s">
        <v>284</v>
      </c>
      <c r="D2" s="159"/>
      <c r="E2" s="159"/>
      <c r="F2" s="159"/>
      <c r="G2" s="159"/>
      <c r="H2" s="75"/>
    </row>
    <row r="3" spans="1:9" ht="18" customHeight="1">
      <c r="A3" s="124" t="s">
        <v>285</v>
      </c>
      <c r="B3" s="125"/>
      <c r="C3" s="133" t="s">
        <v>286</v>
      </c>
      <c r="D3" s="159"/>
      <c r="E3" s="159"/>
      <c r="F3" s="159"/>
      <c r="G3" s="159"/>
      <c r="H3" s="76"/>
    </row>
    <row r="4" spans="1:9" ht="23.4">
      <c r="A4" s="124" t="s">
        <v>287</v>
      </c>
      <c r="B4" s="125"/>
      <c r="C4" s="134" t="s">
        <v>288</v>
      </c>
      <c r="D4" s="135"/>
      <c r="E4" s="135"/>
      <c r="F4" s="135"/>
      <c r="G4" s="57" t="s">
        <v>289</v>
      </c>
      <c r="H4" s="57" t="s">
        <v>321</v>
      </c>
      <c r="I4" s="58" t="str">
        <f>IF(WORK_PLACE2!$K$6=1,"T1",IF(WORK_PLACE2!$K$6=2,"T2","T3"))</f>
        <v>T3</v>
      </c>
    </row>
    <row r="5" spans="1:9" ht="24.6" customHeight="1">
      <c r="A5" s="137" t="s">
        <v>290</v>
      </c>
      <c r="B5" s="138"/>
      <c r="C5" s="139" t="s">
        <v>291</v>
      </c>
      <c r="D5" s="139"/>
      <c r="E5" s="140" t="s">
        <v>292</v>
      </c>
      <c r="F5" s="141"/>
      <c r="G5" s="77" t="s">
        <v>293</v>
      </c>
      <c r="H5" s="57" t="s">
        <v>322</v>
      </c>
      <c r="I5" s="73">
        <f>WORK_PLACE2!$F$51</f>
        <v>0</v>
      </c>
    </row>
    <row r="6" spans="1:9" ht="15">
      <c r="A6" s="121" t="s">
        <v>294</v>
      </c>
      <c r="B6" s="121" t="s">
        <v>295</v>
      </c>
      <c r="C6" s="59" t="s">
        <v>345</v>
      </c>
      <c r="D6" s="59" t="s">
        <v>332</v>
      </c>
      <c r="E6" s="59" t="s">
        <v>333</v>
      </c>
      <c r="F6" s="59" t="s">
        <v>334</v>
      </c>
      <c r="G6" s="59" t="s">
        <v>335</v>
      </c>
      <c r="H6" s="59" t="s">
        <v>336</v>
      </c>
      <c r="I6" s="104" t="s">
        <v>337</v>
      </c>
    </row>
    <row r="7" spans="1:9" ht="15">
      <c r="A7" s="122"/>
      <c r="B7" s="122"/>
      <c r="C7" s="61" t="s">
        <v>296</v>
      </c>
      <c r="D7" s="61" t="s">
        <v>297</v>
      </c>
      <c r="E7" s="61" t="s">
        <v>298</v>
      </c>
      <c r="F7" s="61" t="s">
        <v>299</v>
      </c>
      <c r="G7" s="61" t="s">
        <v>300</v>
      </c>
      <c r="H7" s="61" t="s">
        <v>301</v>
      </c>
      <c r="I7" s="105" t="s">
        <v>302</v>
      </c>
    </row>
    <row r="8" spans="1:9" ht="28.8">
      <c r="A8" s="143">
        <f>WORK_PLACE!I8</f>
        <v>45673</v>
      </c>
      <c r="B8" s="65">
        <v>1</v>
      </c>
      <c r="C8" s="63"/>
      <c r="D8" s="63"/>
      <c r="E8" s="63"/>
      <c r="F8" s="63"/>
      <c r="G8" s="63"/>
      <c r="H8" s="63"/>
      <c r="I8" s="109" t="s">
        <v>344</v>
      </c>
    </row>
    <row r="9" spans="1:9" ht="15">
      <c r="A9" s="144"/>
      <c r="B9" s="65"/>
      <c r="C9" s="63"/>
      <c r="D9" s="63"/>
      <c r="E9" s="63"/>
      <c r="F9" s="63"/>
      <c r="G9" s="63"/>
      <c r="H9" s="63"/>
      <c r="I9" s="110"/>
    </row>
    <row r="10" spans="1:9" ht="28.8">
      <c r="A10" s="145">
        <f>A8+1</f>
        <v>45674</v>
      </c>
      <c r="B10" s="65">
        <v>2</v>
      </c>
      <c r="C10" s="63"/>
      <c r="D10" s="63"/>
      <c r="E10" s="63"/>
      <c r="F10" s="63"/>
      <c r="G10" s="63"/>
      <c r="H10" s="63"/>
      <c r="I10" s="109" t="s">
        <v>344</v>
      </c>
    </row>
    <row r="11" spans="1:9" ht="15">
      <c r="A11" s="144"/>
      <c r="B11" s="65"/>
      <c r="C11" s="63"/>
      <c r="D11" s="63"/>
      <c r="E11" s="63"/>
      <c r="F11" s="63"/>
      <c r="G11" s="63"/>
      <c r="H11" s="63"/>
      <c r="I11" s="110"/>
    </row>
    <row r="12" spans="1:9" ht="28.8">
      <c r="A12" s="145">
        <f>A8+2</f>
        <v>45675</v>
      </c>
      <c r="B12" s="65">
        <v>3</v>
      </c>
      <c r="C12" s="63"/>
      <c r="D12" s="63"/>
      <c r="E12" s="63"/>
      <c r="F12" s="63"/>
      <c r="G12" s="63"/>
      <c r="H12" s="63"/>
      <c r="I12" s="109" t="s">
        <v>344</v>
      </c>
    </row>
    <row r="13" spans="1:9" ht="15">
      <c r="A13" s="122"/>
      <c r="B13" s="65"/>
      <c r="C13" s="63"/>
      <c r="D13" s="63"/>
      <c r="E13" s="63"/>
      <c r="F13" s="63"/>
      <c r="G13" s="63"/>
      <c r="H13" s="63"/>
      <c r="I13" s="110"/>
    </row>
    <row r="14" spans="1:9" ht="28.8">
      <c r="A14" s="145">
        <f>A8+3</f>
        <v>45676</v>
      </c>
      <c r="B14" s="65">
        <v>4</v>
      </c>
      <c r="C14" s="63"/>
      <c r="D14" s="63"/>
      <c r="E14" s="63"/>
      <c r="F14" s="63"/>
      <c r="G14" s="63"/>
      <c r="H14" s="63"/>
      <c r="I14" s="109" t="s">
        <v>344</v>
      </c>
    </row>
    <row r="15" spans="1:9" ht="15">
      <c r="A15" s="144"/>
      <c r="B15" s="65"/>
      <c r="C15" s="63"/>
      <c r="D15" s="63"/>
      <c r="E15" s="63"/>
      <c r="F15" s="63"/>
      <c r="G15" s="63"/>
      <c r="H15" s="63"/>
      <c r="I15" s="110"/>
    </row>
    <row r="16" spans="1:9" ht="28.8">
      <c r="A16" s="145">
        <f t="shared" ref="A16" si="0">A10+3</f>
        <v>45677</v>
      </c>
      <c r="B16" s="65">
        <v>5</v>
      </c>
      <c r="C16" s="63"/>
      <c r="D16" s="63"/>
      <c r="E16" s="63"/>
      <c r="F16" s="63"/>
      <c r="G16" s="63"/>
      <c r="H16" s="63"/>
      <c r="I16" s="109" t="s">
        <v>344</v>
      </c>
    </row>
    <row r="17" spans="1:9" ht="15">
      <c r="A17" s="144"/>
      <c r="B17" s="65"/>
      <c r="C17" s="63"/>
      <c r="D17" s="63"/>
      <c r="E17" s="63"/>
      <c r="F17" s="63"/>
      <c r="G17" s="63"/>
      <c r="H17" s="63"/>
      <c r="I17" s="110"/>
    </row>
    <row r="18" spans="1:9" ht="28.8">
      <c r="A18" s="145">
        <f t="shared" ref="A18:A20" si="1">A12+3</f>
        <v>45678</v>
      </c>
      <c r="B18" s="65">
        <v>6</v>
      </c>
      <c r="C18" s="63"/>
      <c r="D18" s="63"/>
      <c r="E18" s="63"/>
      <c r="F18" s="63"/>
      <c r="G18" s="63"/>
      <c r="H18" s="63"/>
      <c r="I18" s="109" t="s">
        <v>344</v>
      </c>
    </row>
    <row r="19" spans="1:9" ht="15">
      <c r="A19" s="144"/>
      <c r="B19" s="65"/>
      <c r="C19" s="63"/>
      <c r="D19" s="63"/>
      <c r="E19" s="63"/>
      <c r="F19" s="63"/>
      <c r="G19" s="63"/>
      <c r="H19" s="63"/>
      <c r="I19" s="110"/>
    </row>
    <row r="20" spans="1:9" ht="28.8">
      <c r="A20" s="145">
        <f t="shared" si="1"/>
        <v>45679</v>
      </c>
      <c r="B20" s="65">
        <v>7</v>
      </c>
      <c r="C20" s="63"/>
      <c r="D20" s="63"/>
      <c r="E20" s="63"/>
      <c r="F20" s="63"/>
      <c r="G20" s="63"/>
      <c r="H20" s="63"/>
      <c r="I20" s="109" t="s">
        <v>344</v>
      </c>
    </row>
    <row r="21" spans="1:9" ht="15">
      <c r="A21" s="144"/>
      <c r="B21" s="65"/>
      <c r="C21" s="63"/>
      <c r="D21" s="63"/>
      <c r="E21" s="63"/>
      <c r="F21" s="63"/>
      <c r="G21" s="63"/>
      <c r="H21" s="63"/>
      <c r="I21" s="110"/>
    </row>
    <row r="22" spans="1:9" ht="19.5" customHeight="1">
      <c r="A22" s="66" t="s">
        <v>303</v>
      </c>
      <c r="B22" s="146" t="s">
        <v>304</v>
      </c>
      <c r="C22" s="147"/>
      <c r="D22" s="63" t="s">
        <v>305</v>
      </c>
      <c r="E22" s="63" t="s">
        <v>306</v>
      </c>
      <c r="F22" s="63" t="s">
        <v>307</v>
      </c>
      <c r="G22" s="154" t="s">
        <v>308</v>
      </c>
      <c r="H22" s="154"/>
      <c r="I22" s="154"/>
    </row>
    <row r="23" spans="1:9" ht="15">
      <c r="A23" s="67"/>
      <c r="B23" s="68"/>
      <c r="C23" s="68"/>
      <c r="D23" s="69"/>
      <c r="E23" s="69"/>
      <c r="F23" s="69"/>
      <c r="G23" s="69"/>
      <c r="H23" s="69"/>
    </row>
    <row r="24" spans="1:9" ht="15.6">
      <c r="A24" s="160" t="s">
        <v>309</v>
      </c>
      <c r="B24" s="160"/>
      <c r="C24" s="160"/>
      <c r="D24" s="160"/>
      <c r="E24" s="151" t="s">
        <v>310</v>
      </c>
      <c r="F24" s="152"/>
      <c r="G24" s="161" t="s">
        <v>311</v>
      </c>
      <c r="H24" s="161"/>
      <c r="I24" s="161"/>
    </row>
    <row r="25" spans="1:9" ht="15.6">
      <c r="A25" s="153" t="s">
        <v>312</v>
      </c>
      <c r="B25" s="153"/>
      <c r="C25" s="153"/>
      <c r="D25" s="153"/>
      <c r="E25" s="71"/>
      <c r="F25" s="71"/>
      <c r="G25" s="71"/>
      <c r="H25" s="71"/>
    </row>
    <row r="26" spans="1:9" ht="15.6">
      <c r="A26" s="153" t="s">
        <v>313</v>
      </c>
      <c r="B26" s="153"/>
      <c r="C26" s="153"/>
      <c r="D26" s="153"/>
      <c r="E26" s="71"/>
      <c r="F26" s="71"/>
      <c r="G26" s="71"/>
      <c r="H26" s="71"/>
    </row>
    <row r="27" spans="1:9" ht="15.6">
      <c r="A27" s="153" t="s">
        <v>314</v>
      </c>
      <c r="B27" s="153"/>
      <c r="C27" s="153"/>
      <c r="D27" s="153"/>
      <c r="E27" s="71"/>
      <c r="F27" s="71"/>
      <c r="G27" s="71"/>
      <c r="H27" s="71"/>
    </row>
    <row r="28" spans="1:9" ht="15.6">
      <c r="A28" s="153" t="s">
        <v>315</v>
      </c>
      <c r="B28" s="153"/>
      <c r="C28" s="153"/>
      <c r="D28" s="153"/>
      <c r="E28" s="71"/>
      <c r="F28" s="71"/>
      <c r="G28" s="71"/>
      <c r="H28" s="71"/>
    </row>
    <row r="29" spans="1:9" ht="15.6">
      <c r="A29" s="153" t="s">
        <v>316</v>
      </c>
      <c r="B29" s="153"/>
      <c r="C29" s="153"/>
      <c r="D29" s="153"/>
      <c r="E29" s="71"/>
      <c r="F29" s="71"/>
      <c r="G29" s="71"/>
      <c r="H29" s="71"/>
    </row>
    <row r="30" spans="1:9" ht="15.6">
      <c r="A30" s="153" t="s">
        <v>317</v>
      </c>
      <c r="B30" s="153"/>
      <c r="C30" s="153"/>
      <c r="D30" s="153"/>
      <c r="E30" s="71"/>
      <c r="F30" s="71"/>
      <c r="G30" s="71"/>
      <c r="H30" s="71"/>
    </row>
    <row r="31" spans="1:9" ht="15.6">
      <c r="A31" s="153" t="s">
        <v>318</v>
      </c>
      <c r="B31" s="153"/>
      <c r="C31" s="153"/>
      <c r="D31" s="153"/>
      <c r="E31" s="71"/>
      <c r="F31" s="71"/>
      <c r="G31" s="71"/>
      <c r="H31" s="71"/>
    </row>
  </sheetData>
  <mergeCells count="32">
    <mergeCell ref="G22:I22"/>
    <mergeCell ref="A24:D24"/>
    <mergeCell ref="G24:I24"/>
    <mergeCell ref="A29:D29"/>
    <mergeCell ref="A30:D30"/>
    <mergeCell ref="A31:D31"/>
    <mergeCell ref="E24:F24"/>
    <mergeCell ref="A27:D27"/>
    <mergeCell ref="A28:D28"/>
    <mergeCell ref="A25:D25"/>
    <mergeCell ref="A26:D26"/>
    <mergeCell ref="A18:A19"/>
    <mergeCell ref="A20:A21"/>
    <mergeCell ref="B22:C22"/>
    <mergeCell ref="A6:A7"/>
    <mergeCell ref="B6:B7"/>
    <mergeCell ref="A8:A9"/>
    <mergeCell ref="A10:A11"/>
    <mergeCell ref="A12:A13"/>
    <mergeCell ref="A14:A15"/>
    <mergeCell ref="A16:A17"/>
    <mergeCell ref="A1:B1"/>
    <mergeCell ref="C1:G1"/>
    <mergeCell ref="A2:B2"/>
    <mergeCell ref="C2:G2"/>
    <mergeCell ref="A3:B3"/>
    <mergeCell ref="C3:G3"/>
    <mergeCell ref="A4:B4"/>
    <mergeCell ref="C4:F4"/>
    <mergeCell ref="A5:B5"/>
    <mergeCell ref="C5:D5"/>
    <mergeCell ref="E5:F5"/>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COUNT_Button1_Click">
                <anchor moveWithCells="1" sizeWithCells="1">
                  <from>
                    <xdr:col>10</xdr:col>
                    <xdr:colOff>0</xdr:colOff>
                    <xdr:row>4</xdr:row>
                    <xdr:rowOff>38100</xdr:rowOff>
                  </from>
                  <to>
                    <xdr:col>14</xdr:col>
                    <xdr:colOff>198120</xdr:colOff>
                    <xdr:row>6</xdr:row>
                    <xdr:rowOff>76200</xdr:rowOff>
                  </to>
                </anchor>
              </controlPr>
            </control>
          </mc:Choice>
        </mc:AlternateContent>
        <mc:AlternateContent xmlns:mc="http://schemas.openxmlformats.org/markup-compatibility/2006">
          <mc:Choice Requires="x14">
            <control shapeId="43010" r:id="rId5" name="Button 2">
              <controlPr defaultSize="0" print="0" autoFill="0" autoPict="0" macro="[0]!SCHEDULE86_Button2_Click">
                <anchor moveWithCells="1" sizeWithCells="1">
                  <from>
                    <xdr:col>10</xdr:col>
                    <xdr:colOff>0</xdr:colOff>
                    <xdr:row>1</xdr:row>
                    <xdr:rowOff>15240</xdr:rowOff>
                  </from>
                  <to>
                    <xdr:col>14</xdr:col>
                    <xdr:colOff>198120</xdr:colOff>
                    <xdr:row>3</xdr:row>
                    <xdr:rowOff>114300</xdr:rowOff>
                  </to>
                </anchor>
              </controlPr>
            </control>
          </mc:Choice>
        </mc:AlternateContent>
        <mc:AlternateContent xmlns:mc="http://schemas.openxmlformats.org/markup-compatibility/2006">
          <mc:Choice Requires="x14">
            <control shapeId="43012" r:id="rId6" name="Button 4">
              <controlPr defaultSize="0" print="0" autoFill="0" autoPict="0" macro="[0]!Button5_Click">
                <anchor moveWithCells="1" sizeWithCells="1">
                  <from>
                    <xdr:col>10</xdr:col>
                    <xdr:colOff>15240</xdr:colOff>
                    <xdr:row>7</xdr:row>
                    <xdr:rowOff>60960</xdr:rowOff>
                  </from>
                  <to>
                    <xdr:col>14</xdr:col>
                    <xdr:colOff>213360</xdr:colOff>
                    <xdr:row>7</xdr:row>
                    <xdr:rowOff>579120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I29"/>
  <sheetViews>
    <sheetView showGridLines="0" view="pageBreakPreview" zoomScale="60" workbookViewId="0">
      <selection activeCell="F12" sqref="F12"/>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24" t="s">
        <v>281</v>
      </c>
      <c r="B1" s="125"/>
      <c r="C1" s="157" t="s">
        <v>282</v>
      </c>
      <c r="D1" s="158"/>
      <c r="E1" s="158"/>
      <c r="F1" s="158"/>
      <c r="G1" s="158"/>
      <c r="H1" s="74"/>
    </row>
    <row r="2" spans="1:9" ht="18" customHeight="1">
      <c r="A2" s="124" t="s">
        <v>283</v>
      </c>
      <c r="B2" s="125"/>
      <c r="C2" s="133" t="s">
        <v>284</v>
      </c>
      <c r="D2" s="159"/>
      <c r="E2" s="159"/>
      <c r="F2" s="159"/>
      <c r="G2" s="159"/>
      <c r="H2" s="75"/>
    </row>
    <row r="3" spans="1:9" ht="18" customHeight="1">
      <c r="A3" s="124" t="s">
        <v>285</v>
      </c>
      <c r="B3" s="125"/>
      <c r="C3" s="133" t="s">
        <v>286</v>
      </c>
      <c r="D3" s="159"/>
      <c r="E3" s="159"/>
      <c r="F3" s="159"/>
      <c r="G3" s="159"/>
      <c r="H3" s="76"/>
    </row>
    <row r="4" spans="1:9" ht="23.4">
      <c r="A4" s="124" t="s">
        <v>287</v>
      </c>
      <c r="B4" s="125"/>
      <c r="C4" s="134" t="s">
        <v>288</v>
      </c>
      <c r="D4" s="135"/>
      <c r="E4" s="135"/>
      <c r="F4" s="135"/>
      <c r="G4" s="57" t="s">
        <v>289</v>
      </c>
      <c r="H4" s="57" t="s">
        <v>321</v>
      </c>
      <c r="I4" s="58" t="str">
        <f>IF(WORK_PLACE2!$K$6=1,"T1",IF(WORK_PLACE2!$K$6=2,"T2","T3"))</f>
        <v>T3</v>
      </c>
    </row>
    <row r="5" spans="1:9" ht="24.6" customHeight="1">
      <c r="A5" s="137" t="s">
        <v>290</v>
      </c>
      <c r="B5" s="138"/>
      <c r="C5" s="139" t="s">
        <v>291</v>
      </c>
      <c r="D5" s="139"/>
      <c r="E5" s="140" t="s">
        <v>292</v>
      </c>
      <c r="F5" s="141"/>
      <c r="G5" s="77" t="s">
        <v>293</v>
      </c>
      <c r="H5" s="57" t="s">
        <v>322</v>
      </c>
      <c r="I5" s="73">
        <f>WORK_PLACE2!$F$51</f>
        <v>0</v>
      </c>
    </row>
    <row r="6" spans="1:9" ht="15">
      <c r="A6" s="121" t="s">
        <v>294</v>
      </c>
      <c r="B6" s="121" t="s">
        <v>295</v>
      </c>
      <c r="C6" s="59" t="s">
        <v>345</v>
      </c>
      <c r="D6" s="59" t="s">
        <v>332</v>
      </c>
      <c r="E6" s="59" t="s">
        <v>333</v>
      </c>
      <c r="F6" s="59" t="s">
        <v>334</v>
      </c>
      <c r="G6" s="59" t="s">
        <v>335</v>
      </c>
      <c r="H6" s="59" t="s">
        <v>336</v>
      </c>
      <c r="I6" s="104" t="s">
        <v>337</v>
      </c>
    </row>
    <row r="7" spans="1:9" ht="15">
      <c r="A7" s="122"/>
      <c r="B7" s="122"/>
      <c r="C7" s="61" t="s">
        <v>296</v>
      </c>
      <c r="D7" s="61" t="s">
        <v>297</v>
      </c>
      <c r="E7" s="61" t="s">
        <v>298</v>
      </c>
      <c r="F7" s="61" t="s">
        <v>299</v>
      </c>
      <c r="G7" s="61" t="s">
        <v>300</v>
      </c>
      <c r="H7" s="61" t="s">
        <v>301</v>
      </c>
      <c r="I7" s="105" t="s">
        <v>302</v>
      </c>
    </row>
    <row r="8" spans="1:9" ht="28.8">
      <c r="A8" s="143">
        <f>WORK_PLACE!I8</f>
        <v>45673</v>
      </c>
      <c r="B8" s="65">
        <v>1</v>
      </c>
      <c r="C8" s="63"/>
      <c r="D8" s="63"/>
      <c r="E8" s="63"/>
      <c r="F8" s="63"/>
      <c r="G8" s="63"/>
      <c r="H8" s="63"/>
      <c r="I8" s="109" t="s">
        <v>344</v>
      </c>
    </row>
    <row r="9" spans="1:9" ht="15">
      <c r="A9" s="144"/>
      <c r="B9" s="65"/>
      <c r="C9" s="63"/>
      <c r="D9" s="63"/>
      <c r="E9" s="63"/>
      <c r="F9" s="63"/>
      <c r="G9" s="63"/>
      <c r="H9" s="63"/>
      <c r="I9" s="110"/>
    </row>
    <row r="10" spans="1:9" ht="28.8">
      <c r="A10" s="145">
        <f>A8+1</f>
        <v>45674</v>
      </c>
      <c r="B10" s="65">
        <v>2</v>
      </c>
      <c r="C10" s="63"/>
      <c r="D10" s="63"/>
      <c r="E10" s="63"/>
      <c r="F10" s="63"/>
      <c r="G10" s="63"/>
      <c r="H10" s="63"/>
      <c r="I10" s="109" t="s">
        <v>344</v>
      </c>
    </row>
    <row r="11" spans="1:9" ht="15">
      <c r="A11" s="144"/>
      <c r="B11" s="65"/>
      <c r="C11" s="63"/>
      <c r="D11" s="63"/>
      <c r="E11" s="63"/>
      <c r="F11" s="63"/>
      <c r="G11" s="63"/>
      <c r="H11" s="63"/>
    </row>
    <row r="12" spans="1:9" ht="28.8">
      <c r="A12" s="145">
        <f>A8+2</f>
        <v>45675</v>
      </c>
      <c r="B12" s="65">
        <v>3</v>
      </c>
      <c r="C12" s="63"/>
      <c r="D12" s="63"/>
      <c r="E12" s="63"/>
      <c r="F12" s="63"/>
      <c r="G12" s="63"/>
      <c r="H12" s="63"/>
      <c r="I12" s="109" t="s">
        <v>344</v>
      </c>
    </row>
    <row r="13" spans="1:9" ht="15">
      <c r="A13" s="122"/>
      <c r="B13" s="65"/>
      <c r="C13" s="63"/>
      <c r="D13" s="63"/>
      <c r="E13" s="63"/>
      <c r="F13" s="63"/>
      <c r="G13" s="63"/>
      <c r="H13" s="63"/>
    </row>
    <row r="14" spans="1:9" ht="28.8">
      <c r="A14" s="145">
        <f>A8+3</f>
        <v>45676</v>
      </c>
      <c r="B14" s="65">
        <v>4</v>
      </c>
      <c r="C14" s="63"/>
      <c r="D14" s="63"/>
      <c r="E14" s="63"/>
      <c r="F14" s="63"/>
      <c r="G14" s="63"/>
      <c r="H14" s="63"/>
      <c r="I14" s="109" t="s">
        <v>344</v>
      </c>
    </row>
    <row r="15" spans="1:9" ht="15">
      <c r="A15" s="144"/>
      <c r="B15" s="65"/>
      <c r="C15" s="63"/>
      <c r="D15" s="63"/>
      <c r="E15" s="63"/>
      <c r="F15" s="63"/>
      <c r="G15" s="63"/>
      <c r="H15" s="63"/>
    </row>
    <row r="16" spans="1:9" ht="28.8">
      <c r="A16" s="145">
        <f t="shared" ref="A16" si="0">A10+3</f>
        <v>45677</v>
      </c>
      <c r="B16" s="65">
        <v>5</v>
      </c>
      <c r="C16" s="63"/>
      <c r="D16" s="63"/>
      <c r="E16" s="63"/>
      <c r="F16" s="63"/>
      <c r="G16" s="63"/>
      <c r="H16" s="63"/>
      <c r="I16" s="109" t="s">
        <v>344</v>
      </c>
    </row>
    <row r="17" spans="1:9" ht="15">
      <c r="A17" s="144"/>
      <c r="B17" s="65"/>
      <c r="C17" s="63"/>
      <c r="D17" s="63"/>
      <c r="E17" s="63"/>
      <c r="F17" s="63"/>
      <c r="G17" s="63"/>
      <c r="H17" s="63"/>
    </row>
    <row r="18" spans="1:9" ht="28.8">
      <c r="A18" s="145">
        <f t="shared" ref="A18" si="1">A12+3</f>
        <v>45678</v>
      </c>
      <c r="B18" s="65">
        <v>6</v>
      </c>
      <c r="C18" s="63"/>
      <c r="D18" s="63"/>
      <c r="E18" s="63"/>
      <c r="F18" s="63"/>
      <c r="G18" s="63"/>
      <c r="H18" s="63"/>
      <c r="I18" s="109" t="s">
        <v>344</v>
      </c>
    </row>
    <row r="19" spans="1:9" ht="15">
      <c r="A19" s="144"/>
      <c r="B19" s="65"/>
      <c r="C19" s="63"/>
      <c r="D19" s="63"/>
      <c r="E19" s="63"/>
      <c r="F19" s="63"/>
      <c r="G19" s="63"/>
      <c r="H19" s="63"/>
      <c r="I19" s="110"/>
    </row>
    <row r="20" spans="1:9" ht="19.5" customHeight="1">
      <c r="A20" s="66" t="s">
        <v>303</v>
      </c>
      <c r="B20" s="146" t="s">
        <v>304</v>
      </c>
      <c r="C20" s="147"/>
      <c r="D20" s="63" t="s">
        <v>305</v>
      </c>
      <c r="E20" s="63" t="s">
        <v>306</v>
      </c>
      <c r="F20" s="63" t="s">
        <v>307</v>
      </c>
      <c r="G20" s="154" t="s">
        <v>308</v>
      </c>
      <c r="H20" s="154"/>
      <c r="I20" s="154"/>
    </row>
    <row r="21" spans="1:9" ht="15">
      <c r="A21" s="67"/>
      <c r="B21" s="68"/>
      <c r="C21" s="68"/>
      <c r="D21" s="69"/>
      <c r="E21" s="69"/>
      <c r="F21" s="69"/>
      <c r="G21" s="69"/>
      <c r="H21" s="69"/>
    </row>
    <row r="22" spans="1:9" ht="15.6">
      <c r="A22" s="160" t="s">
        <v>309</v>
      </c>
      <c r="B22" s="160"/>
      <c r="C22" s="160"/>
      <c r="D22" s="160"/>
      <c r="E22" s="151" t="s">
        <v>310</v>
      </c>
      <c r="F22" s="152"/>
      <c r="G22" s="161" t="s">
        <v>311</v>
      </c>
      <c r="H22" s="161"/>
      <c r="I22" s="161"/>
    </row>
    <row r="23" spans="1:9" ht="15.6">
      <c r="A23" s="153" t="s">
        <v>312</v>
      </c>
      <c r="B23" s="153"/>
      <c r="C23" s="153"/>
      <c r="D23" s="153"/>
      <c r="G23" s="71"/>
      <c r="H23" s="71"/>
    </row>
    <row r="24" spans="1:9" ht="15.6">
      <c r="A24" s="153" t="s">
        <v>313</v>
      </c>
      <c r="B24" s="153"/>
      <c r="C24" s="153"/>
      <c r="D24" s="153"/>
      <c r="E24" s="71"/>
      <c r="F24" s="71"/>
      <c r="G24" s="71"/>
      <c r="H24" s="71"/>
    </row>
    <row r="25" spans="1:9" ht="15.6">
      <c r="A25" s="153" t="s">
        <v>314</v>
      </c>
      <c r="B25" s="153"/>
      <c r="C25" s="153"/>
      <c r="D25" s="153"/>
      <c r="E25" s="71"/>
      <c r="F25" s="71"/>
      <c r="G25" s="71"/>
      <c r="H25" s="71"/>
    </row>
    <row r="26" spans="1:9" ht="15.6">
      <c r="A26" s="153" t="s">
        <v>315</v>
      </c>
      <c r="B26" s="153"/>
      <c r="C26" s="153"/>
      <c r="D26" s="153"/>
      <c r="E26" s="71"/>
      <c r="F26" s="71"/>
      <c r="G26" s="71"/>
      <c r="H26" s="71"/>
    </row>
    <row r="27" spans="1:9" ht="15.6">
      <c r="A27" s="153" t="s">
        <v>316</v>
      </c>
      <c r="B27" s="153"/>
      <c r="C27" s="153"/>
      <c r="D27" s="153"/>
      <c r="E27" s="71"/>
      <c r="F27" s="71"/>
      <c r="G27" s="71"/>
      <c r="H27" s="71"/>
    </row>
    <row r="28" spans="1:9" ht="15.6">
      <c r="A28" s="153" t="s">
        <v>317</v>
      </c>
      <c r="B28" s="153"/>
      <c r="C28" s="153"/>
      <c r="D28" s="153"/>
      <c r="E28" s="71"/>
      <c r="F28" s="71"/>
      <c r="G28" s="71"/>
      <c r="H28" s="71"/>
    </row>
    <row r="29" spans="1:9" ht="15.6">
      <c r="A29" s="153" t="s">
        <v>318</v>
      </c>
      <c r="B29" s="153"/>
      <c r="C29" s="153"/>
      <c r="D29" s="153"/>
      <c r="E29" s="71"/>
      <c r="F29" s="71"/>
      <c r="G29" s="71"/>
      <c r="H29" s="71"/>
    </row>
  </sheetData>
  <sheetProtection password="CC3D" sheet="1" objects="1" scenarios="1"/>
  <mergeCells count="31">
    <mergeCell ref="A1:B1"/>
    <mergeCell ref="A2:B2"/>
    <mergeCell ref="A3:B3"/>
    <mergeCell ref="C1:G1"/>
    <mergeCell ref="C2:G2"/>
    <mergeCell ref="C3:G3"/>
    <mergeCell ref="E22:F22"/>
    <mergeCell ref="C4:F4"/>
    <mergeCell ref="E5:F5"/>
    <mergeCell ref="G22:I22"/>
    <mergeCell ref="G20:I20"/>
    <mergeCell ref="A23:D23"/>
    <mergeCell ref="A24:D24"/>
    <mergeCell ref="A4:B4"/>
    <mergeCell ref="A5:B5"/>
    <mergeCell ref="C5:D5"/>
    <mergeCell ref="A6:A7"/>
    <mergeCell ref="B6:B7"/>
    <mergeCell ref="B20:C20"/>
    <mergeCell ref="A8:A9"/>
    <mergeCell ref="A10:A11"/>
    <mergeCell ref="A12:A13"/>
    <mergeCell ref="A14:A15"/>
    <mergeCell ref="A16:A17"/>
    <mergeCell ref="A18:A19"/>
    <mergeCell ref="A22:D22"/>
    <mergeCell ref="A25:D25"/>
    <mergeCell ref="A26:D26"/>
    <mergeCell ref="A27:D27"/>
    <mergeCell ref="A28:D28"/>
    <mergeCell ref="A29:D29"/>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COUNT_Button1_Click">
                <anchor moveWithCells="1" sizeWithCells="1">
                  <from>
                    <xdr:col>10</xdr:col>
                    <xdr:colOff>38100</xdr:colOff>
                    <xdr:row>4</xdr:row>
                    <xdr:rowOff>38100</xdr:rowOff>
                  </from>
                  <to>
                    <xdr:col>14</xdr:col>
                    <xdr:colOff>259080</xdr:colOff>
                    <xdr:row>6</xdr:row>
                    <xdr:rowOff>76200</xdr:rowOff>
                  </to>
                </anchor>
              </controlPr>
            </control>
          </mc:Choice>
        </mc:AlternateContent>
        <mc:AlternateContent xmlns:mc="http://schemas.openxmlformats.org/markup-compatibility/2006">
          <mc:Choice Requires="x14">
            <control shapeId="23554" r:id="rId5" name="Button 2">
              <controlPr defaultSize="0" print="0" autoFill="0" autoPict="0" macro="[0]!SCHEDULE86_Button2_Click">
                <anchor moveWithCells="1" sizeWithCells="1">
                  <from>
                    <xdr:col>10</xdr:col>
                    <xdr:colOff>38100</xdr:colOff>
                    <xdr:row>1</xdr:row>
                    <xdr:rowOff>15240</xdr:rowOff>
                  </from>
                  <to>
                    <xdr:col>14</xdr:col>
                    <xdr:colOff>236220</xdr:colOff>
                    <xdr:row>3</xdr:row>
                    <xdr:rowOff>114300</xdr:rowOff>
                  </to>
                </anchor>
              </controlPr>
            </control>
          </mc:Choice>
        </mc:AlternateContent>
        <mc:AlternateContent xmlns:mc="http://schemas.openxmlformats.org/markup-compatibility/2006">
          <mc:Choice Requires="x14">
            <control shapeId="23556" r:id="rId6" name="Button 4">
              <controlPr defaultSize="0" print="0" autoFill="0" autoPict="0" macro="[0]!Button5_Click">
                <anchor moveWithCells="1" sizeWithCells="1">
                  <from>
                    <xdr:col>10</xdr:col>
                    <xdr:colOff>38100</xdr:colOff>
                    <xdr:row>7</xdr:row>
                    <xdr:rowOff>99060</xdr:rowOff>
                  </from>
                  <to>
                    <xdr:col>14</xdr:col>
                    <xdr:colOff>281940</xdr:colOff>
                    <xdr:row>7</xdr:row>
                    <xdr:rowOff>617220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I27"/>
  <sheetViews>
    <sheetView showGridLines="0" view="pageBreakPreview" topLeftCell="A8" zoomScale="60" workbookViewId="0">
      <selection activeCell="C8" sqref="C8:H17"/>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24" t="s">
        <v>281</v>
      </c>
      <c r="B1" s="125"/>
      <c r="C1" s="157" t="s">
        <v>282</v>
      </c>
      <c r="D1" s="158"/>
      <c r="E1" s="158"/>
      <c r="F1" s="158"/>
      <c r="G1" s="158"/>
      <c r="H1" s="74"/>
    </row>
    <row r="2" spans="1:9" ht="18" customHeight="1">
      <c r="A2" s="124" t="s">
        <v>283</v>
      </c>
      <c r="B2" s="125"/>
      <c r="C2" s="133" t="s">
        <v>284</v>
      </c>
      <c r="D2" s="159"/>
      <c r="E2" s="159"/>
      <c r="F2" s="159"/>
      <c r="G2" s="159"/>
      <c r="H2" s="75"/>
    </row>
    <row r="3" spans="1:9" ht="18" customHeight="1">
      <c r="A3" s="124" t="s">
        <v>285</v>
      </c>
      <c r="B3" s="125"/>
      <c r="C3" s="133" t="s">
        <v>286</v>
      </c>
      <c r="D3" s="159"/>
      <c r="E3" s="159"/>
      <c r="F3" s="159"/>
      <c r="G3" s="159"/>
      <c r="H3" s="75"/>
    </row>
    <row r="4" spans="1:9" ht="23.4">
      <c r="A4" s="124" t="s">
        <v>287</v>
      </c>
      <c r="B4" s="125"/>
      <c r="C4" s="134" t="s">
        <v>329</v>
      </c>
      <c r="D4" s="135"/>
      <c r="E4" s="135"/>
      <c r="F4" s="135"/>
      <c r="G4" s="57" t="s">
        <v>289</v>
      </c>
      <c r="H4" s="57" t="s">
        <v>321</v>
      </c>
      <c r="I4" s="58" t="str">
        <f>IF(WORK_PLACE2!$K$6=1,"T1",IF(WORK_PLACE2!$K$6=2,"T2","T3"))</f>
        <v>T3</v>
      </c>
    </row>
    <row r="5" spans="1:9" ht="24.6" customHeight="1">
      <c r="A5" s="137" t="s">
        <v>290</v>
      </c>
      <c r="B5" s="138"/>
      <c r="C5" s="139" t="s">
        <v>291</v>
      </c>
      <c r="D5" s="139"/>
      <c r="E5" s="140" t="s">
        <v>292</v>
      </c>
      <c r="F5" s="141"/>
      <c r="G5" s="77" t="s">
        <v>293</v>
      </c>
      <c r="H5" s="57" t="s">
        <v>322</v>
      </c>
      <c r="I5" s="73">
        <f>WORK_PLACE2!$F$51</f>
        <v>0</v>
      </c>
    </row>
    <row r="6" spans="1:9" ht="15">
      <c r="A6" s="121" t="s">
        <v>294</v>
      </c>
      <c r="B6" s="121" t="s">
        <v>295</v>
      </c>
      <c r="C6" s="59" t="s">
        <v>345</v>
      </c>
      <c r="D6" s="59" t="s">
        <v>332</v>
      </c>
      <c r="E6" s="59" t="s">
        <v>333</v>
      </c>
      <c r="F6" s="59" t="s">
        <v>334</v>
      </c>
      <c r="G6" s="59" t="s">
        <v>335</v>
      </c>
      <c r="H6" s="59" t="s">
        <v>336</v>
      </c>
      <c r="I6" s="107" t="s">
        <v>337</v>
      </c>
    </row>
    <row r="7" spans="1:9" ht="15">
      <c r="A7" s="122"/>
      <c r="B7" s="122"/>
      <c r="C7" s="61" t="s">
        <v>296</v>
      </c>
      <c r="D7" s="61" t="s">
        <v>297</v>
      </c>
      <c r="E7" s="61" t="s">
        <v>298</v>
      </c>
      <c r="F7" s="61" t="s">
        <v>299</v>
      </c>
      <c r="G7" s="61" t="s">
        <v>300</v>
      </c>
      <c r="H7" s="61" t="s">
        <v>301</v>
      </c>
      <c r="I7" s="106" t="s">
        <v>302</v>
      </c>
    </row>
    <row r="8" spans="1:9" ht="28.8">
      <c r="A8" s="143">
        <f>WORK_PLACE!I8</f>
        <v>45673</v>
      </c>
      <c r="B8" s="65">
        <v>1</v>
      </c>
      <c r="C8" s="63"/>
      <c r="D8" s="63"/>
      <c r="E8" s="63"/>
      <c r="F8" s="63"/>
      <c r="G8" s="63"/>
      <c r="H8" s="108"/>
      <c r="I8" s="109" t="s">
        <v>346</v>
      </c>
    </row>
    <row r="9" spans="1:9" ht="15">
      <c r="A9" s="144"/>
      <c r="B9" s="65"/>
      <c r="C9" s="63"/>
      <c r="D9" s="63"/>
      <c r="E9" s="63"/>
      <c r="F9" s="63"/>
      <c r="G9" s="63"/>
      <c r="H9" s="108"/>
      <c r="I9" s="110"/>
    </row>
    <row r="10" spans="1:9" ht="28.8">
      <c r="A10" s="145">
        <f>A8+1</f>
        <v>45674</v>
      </c>
      <c r="B10" s="65">
        <v>2</v>
      </c>
      <c r="C10" s="63"/>
      <c r="D10" s="63"/>
      <c r="E10" s="63"/>
      <c r="F10" s="63"/>
      <c r="G10" s="63"/>
      <c r="H10" s="108"/>
      <c r="I10" s="109" t="s">
        <v>346</v>
      </c>
    </row>
    <row r="11" spans="1:9" ht="15">
      <c r="A11" s="144"/>
      <c r="B11" s="65"/>
      <c r="C11" s="63"/>
      <c r="D11" s="63"/>
      <c r="E11" s="63"/>
      <c r="F11" s="63"/>
      <c r="G11" s="63"/>
      <c r="H11" s="108"/>
      <c r="I11" s="110"/>
    </row>
    <row r="12" spans="1:9" ht="28.8">
      <c r="A12" s="145">
        <f>A8+2</f>
        <v>45675</v>
      </c>
      <c r="B12" s="65">
        <v>3</v>
      </c>
      <c r="C12" s="63"/>
      <c r="D12" s="63"/>
      <c r="E12" s="63"/>
      <c r="F12" s="63"/>
      <c r="G12" s="63"/>
      <c r="H12" s="108"/>
      <c r="I12" s="109" t="s">
        <v>346</v>
      </c>
    </row>
    <row r="13" spans="1:9" ht="15">
      <c r="A13" s="122"/>
      <c r="B13" s="65"/>
      <c r="C13" s="63"/>
      <c r="D13" s="63"/>
      <c r="E13" s="63"/>
      <c r="F13" s="63"/>
      <c r="G13" s="63"/>
      <c r="H13" s="108"/>
      <c r="I13" s="110"/>
    </row>
    <row r="14" spans="1:9" ht="28.8">
      <c r="A14" s="145">
        <f>A8+3</f>
        <v>45676</v>
      </c>
      <c r="B14" s="65">
        <v>4</v>
      </c>
      <c r="C14" s="63"/>
      <c r="D14" s="63"/>
      <c r="E14" s="63"/>
      <c r="F14" s="63"/>
      <c r="G14" s="63"/>
      <c r="H14" s="108"/>
      <c r="I14" s="109" t="s">
        <v>346</v>
      </c>
    </row>
    <row r="15" spans="1:9" ht="15">
      <c r="A15" s="144"/>
      <c r="B15" s="65"/>
      <c r="C15" s="63"/>
      <c r="D15" s="63"/>
      <c r="E15" s="63"/>
      <c r="F15" s="63"/>
      <c r="G15" s="63"/>
      <c r="H15" s="108"/>
      <c r="I15" s="110"/>
    </row>
    <row r="16" spans="1:9" ht="28.8">
      <c r="A16" s="145">
        <f t="shared" ref="A16" si="0">A10+3</f>
        <v>45677</v>
      </c>
      <c r="B16" s="65">
        <v>5</v>
      </c>
      <c r="C16" s="63"/>
      <c r="D16" s="63"/>
      <c r="E16" s="63"/>
      <c r="F16" s="63"/>
      <c r="G16" s="63"/>
      <c r="H16" s="108"/>
      <c r="I16" s="109" t="s">
        <v>346</v>
      </c>
    </row>
    <row r="17" spans="1:9" ht="15">
      <c r="A17" s="144"/>
      <c r="B17" s="65"/>
      <c r="C17" s="63"/>
      <c r="D17" s="63"/>
      <c r="E17" s="63"/>
      <c r="F17" s="63"/>
      <c r="G17" s="63"/>
      <c r="H17" s="108"/>
      <c r="I17" s="110"/>
    </row>
    <row r="18" spans="1:9" ht="19.5" customHeight="1">
      <c r="A18" s="66" t="s">
        <v>303</v>
      </c>
      <c r="B18" s="146" t="s">
        <v>304</v>
      </c>
      <c r="C18" s="147"/>
      <c r="D18" s="63" t="s">
        <v>305</v>
      </c>
      <c r="E18" s="63" t="s">
        <v>306</v>
      </c>
      <c r="F18" s="63" t="s">
        <v>307</v>
      </c>
      <c r="G18" s="154" t="s">
        <v>308</v>
      </c>
      <c r="H18" s="154"/>
      <c r="I18" s="154"/>
    </row>
    <row r="19" spans="1:9" ht="15">
      <c r="A19" s="67"/>
      <c r="B19" s="68"/>
      <c r="C19" s="68"/>
      <c r="D19" s="69"/>
      <c r="E19" s="69"/>
      <c r="F19" s="69"/>
      <c r="G19" s="69"/>
      <c r="H19" s="69"/>
    </row>
    <row r="20" spans="1:9" ht="15.6">
      <c r="A20" s="160" t="s">
        <v>309</v>
      </c>
      <c r="B20" s="160"/>
      <c r="C20" s="160"/>
      <c r="D20" s="160"/>
      <c r="E20" s="163" t="s">
        <v>310</v>
      </c>
      <c r="F20" s="164"/>
      <c r="G20" s="161" t="s">
        <v>311</v>
      </c>
      <c r="H20" s="161"/>
      <c r="I20" s="161"/>
    </row>
    <row r="21" spans="1:9" ht="15.6">
      <c r="A21" s="153" t="s">
        <v>312</v>
      </c>
      <c r="B21" s="153"/>
      <c r="C21" s="153"/>
      <c r="D21" s="153"/>
      <c r="E21" s="162"/>
      <c r="F21" s="162"/>
      <c r="G21" s="71"/>
      <c r="H21" s="71"/>
    </row>
    <row r="22" spans="1:9" ht="15.6">
      <c r="A22" s="153" t="s">
        <v>313</v>
      </c>
      <c r="B22" s="153"/>
      <c r="C22" s="153"/>
      <c r="D22" s="153"/>
      <c r="E22" s="71"/>
      <c r="F22" s="71"/>
      <c r="G22" s="71"/>
      <c r="H22" s="71"/>
    </row>
    <row r="23" spans="1:9" ht="15.6">
      <c r="A23" s="153" t="s">
        <v>314</v>
      </c>
      <c r="B23" s="153"/>
      <c r="C23" s="153"/>
      <c r="D23" s="153"/>
      <c r="E23" s="71"/>
      <c r="F23" s="71"/>
      <c r="G23" s="71"/>
      <c r="H23" s="71"/>
    </row>
    <row r="24" spans="1:9" ht="15.6">
      <c r="A24" s="153" t="s">
        <v>315</v>
      </c>
      <c r="B24" s="153"/>
      <c r="C24" s="153"/>
      <c r="D24" s="153"/>
      <c r="E24" s="71"/>
      <c r="F24" s="71"/>
      <c r="G24" s="71"/>
      <c r="H24" s="71"/>
    </row>
    <row r="25" spans="1:9" ht="15.6">
      <c r="A25" s="153" t="s">
        <v>316</v>
      </c>
      <c r="B25" s="153"/>
      <c r="C25" s="153"/>
      <c r="D25" s="153"/>
      <c r="E25" s="71"/>
      <c r="F25" s="71"/>
      <c r="G25" s="71"/>
      <c r="H25" s="71"/>
    </row>
    <row r="26" spans="1:9" ht="15.6">
      <c r="A26" s="153" t="s">
        <v>317</v>
      </c>
      <c r="B26" s="153"/>
      <c r="C26" s="153"/>
      <c r="D26" s="153"/>
      <c r="E26" s="71"/>
      <c r="F26" s="71"/>
      <c r="G26" s="71"/>
      <c r="H26" s="71"/>
    </row>
    <row r="27" spans="1:9" ht="15.6">
      <c r="A27" s="153" t="s">
        <v>318</v>
      </c>
      <c r="B27" s="153"/>
      <c r="C27" s="153"/>
      <c r="D27" s="153"/>
      <c r="E27" s="71"/>
      <c r="F27" s="71"/>
      <c r="G27" s="71"/>
      <c r="H27" s="71"/>
    </row>
  </sheetData>
  <sheetProtection password="CC3D" sheet="1" objects="1" scenarios="1"/>
  <mergeCells count="31">
    <mergeCell ref="A14:A15"/>
    <mergeCell ref="A16:A17"/>
    <mergeCell ref="G18:I18"/>
    <mergeCell ref="G20:I20"/>
    <mergeCell ref="A1:B1"/>
    <mergeCell ref="A2:B2"/>
    <mergeCell ref="A3:B3"/>
    <mergeCell ref="C1:G1"/>
    <mergeCell ref="C2:G2"/>
    <mergeCell ref="C3:G3"/>
    <mergeCell ref="A22:D22"/>
    <mergeCell ref="A4:B4"/>
    <mergeCell ref="A5:B5"/>
    <mergeCell ref="C5:D5"/>
    <mergeCell ref="E21:F21"/>
    <mergeCell ref="A6:A7"/>
    <mergeCell ref="B6:B7"/>
    <mergeCell ref="B18:C18"/>
    <mergeCell ref="A20:D20"/>
    <mergeCell ref="E20:F20"/>
    <mergeCell ref="A21:D21"/>
    <mergeCell ref="C4:F4"/>
    <mergeCell ref="E5:F5"/>
    <mergeCell ref="A8:A9"/>
    <mergeCell ref="A10:A11"/>
    <mergeCell ref="A12:A13"/>
    <mergeCell ref="A23:D23"/>
    <mergeCell ref="A24:D24"/>
    <mergeCell ref="A25:D25"/>
    <mergeCell ref="A26:D26"/>
    <mergeCell ref="A27:D27"/>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COUNT_Button1_Click">
                <anchor moveWithCells="1" sizeWithCells="1">
                  <from>
                    <xdr:col>10</xdr:col>
                    <xdr:colOff>259080</xdr:colOff>
                    <xdr:row>2</xdr:row>
                    <xdr:rowOff>198120</xdr:rowOff>
                  </from>
                  <to>
                    <xdr:col>14</xdr:col>
                    <xdr:colOff>426720</xdr:colOff>
                    <xdr:row>4</xdr:row>
                    <xdr:rowOff>213360</xdr:rowOff>
                  </to>
                </anchor>
              </controlPr>
            </control>
          </mc:Choice>
        </mc:AlternateContent>
        <mc:AlternateContent xmlns:mc="http://schemas.openxmlformats.org/markup-compatibility/2006">
          <mc:Choice Requires="x14">
            <control shapeId="22530" r:id="rId5" name="Button 2">
              <controlPr defaultSize="0" print="0" autoFill="0" autoPict="0" macro="[0]!SCHEDULE86_Button2_Click">
                <anchor moveWithCells="1" sizeWithCells="1">
                  <from>
                    <xdr:col>10</xdr:col>
                    <xdr:colOff>236220</xdr:colOff>
                    <xdr:row>0</xdr:row>
                    <xdr:rowOff>198120</xdr:rowOff>
                  </from>
                  <to>
                    <xdr:col>14</xdr:col>
                    <xdr:colOff>434340</xdr:colOff>
                    <xdr:row>1</xdr:row>
                    <xdr:rowOff>213360</xdr:rowOff>
                  </to>
                </anchor>
              </controlPr>
            </control>
          </mc:Choice>
        </mc:AlternateContent>
        <mc:AlternateContent xmlns:mc="http://schemas.openxmlformats.org/markup-compatibility/2006">
          <mc:Choice Requires="x14">
            <control shapeId="22532" r:id="rId6" name="Button 4">
              <controlPr defaultSize="0" print="0" autoFill="0" autoPict="0" macro="[0]!Button5_Click">
                <anchor moveWithCells="1" sizeWithCells="1">
                  <from>
                    <xdr:col>10</xdr:col>
                    <xdr:colOff>281940</xdr:colOff>
                    <xdr:row>6</xdr:row>
                    <xdr:rowOff>99060</xdr:rowOff>
                  </from>
                  <to>
                    <xdr:col>14</xdr:col>
                    <xdr:colOff>525780</xdr:colOff>
                    <xdr:row>7</xdr:row>
                    <xdr:rowOff>464820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I25"/>
  <sheetViews>
    <sheetView showGridLines="0" view="pageBreakPreview" topLeftCell="A4" zoomScale="70" zoomScaleSheetLayoutView="70" workbookViewId="0">
      <selection activeCell="C8" sqref="C8:H15"/>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10" width="11.21875" style="42" customWidth="1"/>
    <col min="11" max="11" width="3.77734375" style="42" customWidth="1"/>
    <col min="12" max="16384" width="8.88671875" style="42"/>
  </cols>
  <sheetData>
    <row r="1" spans="1:9" ht="42.6" customHeight="1">
      <c r="A1" s="124" t="s">
        <v>281</v>
      </c>
      <c r="B1" s="125"/>
      <c r="C1" s="157" t="s">
        <v>282</v>
      </c>
      <c r="D1" s="158"/>
      <c r="E1" s="158"/>
      <c r="F1" s="158"/>
      <c r="G1" s="158"/>
      <c r="H1" s="74"/>
    </row>
    <row r="2" spans="1:9" ht="18" customHeight="1">
      <c r="A2" s="124" t="s">
        <v>283</v>
      </c>
      <c r="B2" s="125"/>
      <c r="C2" s="133" t="s">
        <v>284</v>
      </c>
      <c r="D2" s="159"/>
      <c r="E2" s="159"/>
      <c r="F2" s="159"/>
      <c r="G2" s="159"/>
      <c r="H2" s="75"/>
    </row>
    <row r="3" spans="1:9" ht="18" customHeight="1">
      <c r="A3" s="124" t="s">
        <v>285</v>
      </c>
      <c r="B3" s="125"/>
      <c r="C3" s="133" t="s">
        <v>286</v>
      </c>
      <c r="D3" s="159"/>
      <c r="E3" s="159"/>
      <c r="F3" s="159"/>
      <c r="G3" s="159"/>
      <c r="H3" s="75"/>
    </row>
    <row r="4" spans="1:9" ht="23.4">
      <c r="A4" s="124" t="s">
        <v>287</v>
      </c>
      <c r="B4" s="125"/>
      <c r="C4" s="134" t="s">
        <v>329</v>
      </c>
      <c r="D4" s="135"/>
      <c r="E4" s="135"/>
      <c r="F4" s="135"/>
      <c r="G4" s="57" t="s">
        <v>289</v>
      </c>
      <c r="H4" s="57" t="s">
        <v>321</v>
      </c>
      <c r="I4" s="58" t="str">
        <f>IF(WORK_PLACE2!$K$6=1,"T1",IF(WORK_PLACE2!$K$6=2,"T2","T3"))</f>
        <v>T3</v>
      </c>
    </row>
    <row r="5" spans="1:9" ht="24.6" customHeight="1">
      <c r="A5" s="137" t="s">
        <v>290</v>
      </c>
      <c r="B5" s="138"/>
      <c r="C5" s="139" t="s">
        <v>291</v>
      </c>
      <c r="D5" s="139"/>
      <c r="E5" s="140" t="s">
        <v>292</v>
      </c>
      <c r="F5" s="141"/>
      <c r="G5" s="77" t="s">
        <v>293</v>
      </c>
      <c r="H5" s="57" t="s">
        <v>322</v>
      </c>
      <c r="I5" s="73">
        <f>WORK_PLACE2!$F$51</f>
        <v>0</v>
      </c>
    </row>
    <row r="6" spans="1:9" ht="15">
      <c r="A6" s="121" t="s">
        <v>294</v>
      </c>
      <c r="B6" s="121" t="s">
        <v>295</v>
      </c>
      <c r="C6" s="59" t="s">
        <v>345</v>
      </c>
      <c r="D6" s="59" t="s">
        <v>332</v>
      </c>
      <c r="E6" s="59" t="s">
        <v>333</v>
      </c>
      <c r="F6" s="59" t="s">
        <v>334</v>
      </c>
      <c r="G6" s="59" t="s">
        <v>335</v>
      </c>
      <c r="H6" s="59" t="s">
        <v>336</v>
      </c>
      <c r="I6" s="107" t="s">
        <v>337</v>
      </c>
    </row>
    <row r="7" spans="1:9" ht="15">
      <c r="A7" s="122"/>
      <c r="B7" s="122"/>
      <c r="C7" s="61" t="s">
        <v>296</v>
      </c>
      <c r="D7" s="61" t="s">
        <v>297</v>
      </c>
      <c r="E7" s="61" t="s">
        <v>298</v>
      </c>
      <c r="F7" s="61" t="s">
        <v>299</v>
      </c>
      <c r="G7" s="61" t="s">
        <v>300</v>
      </c>
      <c r="H7" s="61" t="s">
        <v>301</v>
      </c>
      <c r="I7" s="106" t="s">
        <v>302</v>
      </c>
    </row>
    <row r="8" spans="1:9" ht="28.8">
      <c r="A8" s="143">
        <f>WORK_PLACE!I8</f>
        <v>45673</v>
      </c>
      <c r="B8" s="65">
        <v>1</v>
      </c>
      <c r="C8" s="63"/>
      <c r="D8" s="63"/>
      <c r="E8" s="63"/>
      <c r="F8" s="63"/>
      <c r="G8" s="63"/>
      <c r="H8" s="108"/>
      <c r="I8" s="109" t="s">
        <v>346</v>
      </c>
    </row>
    <row r="9" spans="1:9" ht="15">
      <c r="A9" s="144"/>
      <c r="B9" s="65"/>
      <c r="C9" s="63"/>
      <c r="D9" s="63"/>
      <c r="E9" s="63"/>
      <c r="F9" s="63"/>
      <c r="G9" s="63"/>
      <c r="H9" s="108"/>
      <c r="I9" s="110"/>
    </row>
    <row r="10" spans="1:9" ht="28.8">
      <c r="A10" s="145">
        <f>A8+1</f>
        <v>45674</v>
      </c>
      <c r="B10" s="65">
        <v>2</v>
      </c>
      <c r="C10" s="63"/>
      <c r="D10" s="63"/>
      <c r="E10" s="63"/>
      <c r="F10" s="63"/>
      <c r="G10" s="63"/>
      <c r="H10" s="108"/>
      <c r="I10" s="109" t="s">
        <v>346</v>
      </c>
    </row>
    <row r="11" spans="1:9" ht="15">
      <c r="A11" s="144"/>
      <c r="B11" s="65"/>
      <c r="C11" s="63"/>
      <c r="D11" s="63"/>
      <c r="E11" s="63"/>
      <c r="F11" s="63"/>
      <c r="G11" s="63"/>
      <c r="H11" s="108"/>
      <c r="I11" s="110"/>
    </row>
    <row r="12" spans="1:9" ht="28.8">
      <c r="A12" s="145">
        <f>A8+2</f>
        <v>45675</v>
      </c>
      <c r="B12" s="65">
        <v>3</v>
      </c>
      <c r="C12" s="63"/>
      <c r="D12" s="63"/>
      <c r="E12" s="63"/>
      <c r="F12" s="63"/>
      <c r="G12" s="63"/>
      <c r="H12" s="108"/>
      <c r="I12" s="109" t="s">
        <v>346</v>
      </c>
    </row>
    <row r="13" spans="1:9" ht="15">
      <c r="A13" s="122"/>
      <c r="B13" s="65"/>
      <c r="C13" s="63"/>
      <c r="D13" s="63"/>
      <c r="E13" s="63"/>
      <c r="F13" s="63"/>
      <c r="G13" s="63"/>
      <c r="H13" s="108"/>
      <c r="I13" s="110"/>
    </row>
    <row r="14" spans="1:9" ht="28.8">
      <c r="A14" s="145">
        <f>A8+3</f>
        <v>45676</v>
      </c>
      <c r="B14" s="65">
        <v>4</v>
      </c>
      <c r="C14" s="63"/>
      <c r="D14" s="63"/>
      <c r="E14" s="63"/>
      <c r="F14" s="63"/>
      <c r="G14" s="63"/>
      <c r="H14" s="108"/>
      <c r="I14" s="109" t="s">
        <v>346</v>
      </c>
    </row>
    <row r="15" spans="1:9" ht="15">
      <c r="A15" s="144"/>
      <c r="B15" s="65"/>
      <c r="C15" s="63"/>
      <c r="D15" s="63"/>
      <c r="E15" s="63"/>
      <c r="F15" s="63"/>
      <c r="G15" s="63"/>
      <c r="H15" s="108"/>
      <c r="I15" s="110"/>
    </row>
    <row r="16" spans="1:9" ht="19.5" customHeight="1">
      <c r="A16" s="66" t="s">
        <v>303</v>
      </c>
      <c r="B16" s="146" t="s">
        <v>304</v>
      </c>
      <c r="C16" s="147"/>
      <c r="D16" s="63" t="s">
        <v>305</v>
      </c>
      <c r="E16" s="63" t="s">
        <v>306</v>
      </c>
      <c r="F16" s="63" t="s">
        <v>307</v>
      </c>
      <c r="G16" s="154" t="s">
        <v>308</v>
      </c>
      <c r="H16" s="154"/>
      <c r="I16" s="154"/>
    </row>
    <row r="17" spans="1:9" ht="15">
      <c r="A17" s="67"/>
      <c r="B17" s="68"/>
      <c r="C17" s="68"/>
      <c r="D17" s="69"/>
      <c r="E17" s="69"/>
      <c r="F17" s="69"/>
      <c r="G17" s="69"/>
      <c r="H17" s="69"/>
    </row>
    <row r="18" spans="1:9" ht="15.6">
      <c r="A18" s="160" t="s">
        <v>309</v>
      </c>
      <c r="B18" s="160"/>
      <c r="C18" s="160"/>
      <c r="D18" s="160"/>
      <c r="E18" s="163" t="s">
        <v>310</v>
      </c>
      <c r="F18" s="164"/>
      <c r="G18" s="161" t="s">
        <v>311</v>
      </c>
      <c r="H18" s="161"/>
      <c r="I18" s="161"/>
    </row>
    <row r="19" spans="1:9" ht="15.6">
      <c r="A19" s="153" t="s">
        <v>312</v>
      </c>
      <c r="B19" s="153"/>
      <c r="C19" s="153"/>
      <c r="D19" s="153"/>
      <c r="E19" s="162"/>
      <c r="F19" s="162"/>
      <c r="G19" s="71"/>
      <c r="H19" s="71"/>
    </row>
    <row r="20" spans="1:9" ht="15.6">
      <c r="A20" s="153" t="s">
        <v>313</v>
      </c>
      <c r="B20" s="153"/>
      <c r="C20" s="153"/>
      <c r="D20" s="153"/>
      <c r="E20" s="71"/>
      <c r="F20" s="71"/>
      <c r="G20" s="71"/>
      <c r="H20" s="71"/>
    </row>
    <row r="21" spans="1:9" ht="15.6">
      <c r="A21" s="153" t="s">
        <v>314</v>
      </c>
      <c r="B21" s="153"/>
      <c r="C21" s="153"/>
      <c r="D21" s="153"/>
      <c r="E21" s="71"/>
      <c r="F21" s="71"/>
      <c r="G21" s="71"/>
      <c r="H21" s="71"/>
    </row>
    <row r="22" spans="1:9" ht="15.6">
      <c r="A22" s="153" t="s">
        <v>315</v>
      </c>
      <c r="B22" s="153"/>
      <c r="C22" s="153"/>
      <c r="D22" s="153"/>
      <c r="E22" s="71"/>
      <c r="F22" s="71"/>
      <c r="G22" s="71"/>
      <c r="H22" s="71"/>
    </row>
    <row r="23" spans="1:9" ht="15.6">
      <c r="A23" s="153" t="s">
        <v>316</v>
      </c>
      <c r="B23" s="153"/>
      <c r="C23" s="153"/>
      <c r="D23" s="153"/>
      <c r="E23" s="71"/>
      <c r="F23" s="71"/>
      <c r="G23" s="71"/>
      <c r="H23" s="71"/>
    </row>
    <row r="24" spans="1:9" ht="15.6">
      <c r="A24" s="153" t="s">
        <v>317</v>
      </c>
      <c r="B24" s="153"/>
      <c r="C24" s="153"/>
      <c r="D24" s="153"/>
      <c r="E24" s="71"/>
      <c r="F24" s="71"/>
      <c r="G24" s="71"/>
      <c r="H24" s="71"/>
    </row>
    <row r="25" spans="1:9" ht="15.6">
      <c r="A25" s="153" t="s">
        <v>318</v>
      </c>
      <c r="B25" s="153"/>
      <c r="C25" s="153"/>
      <c r="D25" s="153"/>
      <c r="E25" s="71"/>
      <c r="F25" s="71"/>
      <c r="G25" s="71"/>
      <c r="H25" s="71"/>
    </row>
  </sheetData>
  <sheetProtection password="CC3D" sheet="1" objects="1" scenarios="1"/>
  <mergeCells count="30">
    <mergeCell ref="A21:D21"/>
    <mergeCell ref="A22:D22"/>
    <mergeCell ref="A23:D23"/>
    <mergeCell ref="A24:D24"/>
    <mergeCell ref="A25:D25"/>
    <mergeCell ref="E18:F18"/>
    <mergeCell ref="A19:D19"/>
    <mergeCell ref="E19:F19"/>
    <mergeCell ref="G18:I18"/>
    <mergeCell ref="G16:I16"/>
    <mergeCell ref="A20:D20"/>
    <mergeCell ref="A8:A9"/>
    <mergeCell ref="A10:A11"/>
    <mergeCell ref="A12:A13"/>
    <mergeCell ref="A14:A15"/>
    <mergeCell ref="B16:C16"/>
    <mergeCell ref="A18:D18"/>
    <mergeCell ref="A6:A7"/>
    <mergeCell ref="B6:B7"/>
    <mergeCell ref="A1:B1"/>
    <mergeCell ref="C1:G1"/>
    <mergeCell ref="A2:B2"/>
    <mergeCell ref="C2:G2"/>
    <mergeCell ref="A3:B3"/>
    <mergeCell ref="C3:G3"/>
    <mergeCell ref="A4:B4"/>
    <mergeCell ref="C4:F4"/>
    <mergeCell ref="A5:B5"/>
    <mergeCell ref="C5:D5"/>
    <mergeCell ref="E5:F5"/>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COUNT_Button1_Click">
                <anchor moveWithCells="1" sizeWithCells="1">
                  <from>
                    <xdr:col>10</xdr:col>
                    <xdr:colOff>259080</xdr:colOff>
                    <xdr:row>3</xdr:row>
                    <xdr:rowOff>0</xdr:rowOff>
                  </from>
                  <to>
                    <xdr:col>15</xdr:col>
                    <xdr:colOff>68580</xdr:colOff>
                    <xdr:row>4</xdr:row>
                    <xdr:rowOff>213360</xdr:rowOff>
                  </to>
                </anchor>
              </controlPr>
            </control>
          </mc:Choice>
        </mc:AlternateContent>
        <mc:AlternateContent xmlns:mc="http://schemas.openxmlformats.org/markup-compatibility/2006">
          <mc:Choice Requires="x14">
            <control shapeId="44034" r:id="rId5" name="Button 2">
              <controlPr defaultSize="0" print="0" autoFill="0" autoPict="0" macro="[0]!SCHEDULE86_Button2_Click">
                <anchor moveWithCells="1" sizeWithCells="1">
                  <from>
                    <xdr:col>10</xdr:col>
                    <xdr:colOff>236220</xdr:colOff>
                    <xdr:row>0</xdr:row>
                    <xdr:rowOff>198120</xdr:rowOff>
                  </from>
                  <to>
                    <xdr:col>15</xdr:col>
                    <xdr:colOff>45720</xdr:colOff>
                    <xdr:row>2</xdr:row>
                    <xdr:rowOff>0</xdr:rowOff>
                  </to>
                </anchor>
              </controlPr>
            </control>
          </mc:Choice>
        </mc:AlternateContent>
        <mc:AlternateContent xmlns:mc="http://schemas.openxmlformats.org/markup-compatibility/2006">
          <mc:Choice Requires="x14">
            <control shapeId="44036" r:id="rId6" name="Button 4">
              <controlPr defaultSize="0" print="0" autoFill="0" autoPict="0" macro="[0]!Button5_Click">
                <anchor moveWithCells="1" sizeWithCells="1">
                  <from>
                    <xdr:col>10</xdr:col>
                    <xdr:colOff>297180</xdr:colOff>
                    <xdr:row>6</xdr:row>
                    <xdr:rowOff>129540</xdr:rowOff>
                  </from>
                  <to>
                    <xdr:col>15</xdr:col>
                    <xdr:colOff>45720</xdr:colOff>
                    <xdr:row>7</xdr:row>
                    <xdr:rowOff>495300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dimension ref="A1:I23"/>
  <sheetViews>
    <sheetView showGridLines="0" view="pageBreakPreview" topLeftCell="A3" zoomScale="70" zoomScaleSheetLayoutView="70" workbookViewId="0">
      <selection activeCell="C8" sqref="C8:H13"/>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24" t="s">
        <v>281</v>
      </c>
      <c r="B1" s="125"/>
      <c r="C1" s="157" t="s">
        <v>282</v>
      </c>
      <c r="D1" s="158"/>
      <c r="E1" s="158"/>
      <c r="F1" s="158"/>
      <c r="G1" s="158"/>
      <c r="H1" s="74"/>
    </row>
    <row r="2" spans="1:9" ht="18" customHeight="1">
      <c r="A2" s="124" t="s">
        <v>283</v>
      </c>
      <c r="B2" s="125"/>
      <c r="C2" s="133" t="s">
        <v>284</v>
      </c>
      <c r="D2" s="159"/>
      <c r="E2" s="159"/>
      <c r="F2" s="159"/>
      <c r="G2" s="159"/>
      <c r="H2" s="75"/>
    </row>
    <row r="3" spans="1:9" ht="18" customHeight="1">
      <c r="A3" s="124" t="s">
        <v>285</v>
      </c>
      <c r="B3" s="125"/>
      <c r="C3" s="133" t="s">
        <v>286</v>
      </c>
      <c r="D3" s="159"/>
      <c r="E3" s="159"/>
      <c r="F3" s="159"/>
      <c r="G3" s="159"/>
      <c r="H3" s="75"/>
    </row>
    <row r="4" spans="1:9" ht="23.4">
      <c r="A4" s="124" t="s">
        <v>287</v>
      </c>
      <c r="B4" s="125"/>
      <c r="C4" s="134" t="s">
        <v>329</v>
      </c>
      <c r="D4" s="135"/>
      <c r="E4" s="135"/>
      <c r="F4" s="135"/>
      <c r="G4" s="57" t="s">
        <v>289</v>
      </c>
      <c r="H4" s="57" t="s">
        <v>321</v>
      </c>
      <c r="I4" s="58" t="str">
        <f>IF(WORK_PLACE2!$K$6=1,"T1",IF(WORK_PLACE2!$K$6=2,"T2","T3"))</f>
        <v>T3</v>
      </c>
    </row>
    <row r="5" spans="1:9" ht="24.6" customHeight="1">
      <c r="A5" s="137" t="s">
        <v>290</v>
      </c>
      <c r="B5" s="138"/>
      <c r="C5" s="139" t="s">
        <v>291</v>
      </c>
      <c r="D5" s="139"/>
      <c r="E5" s="140" t="s">
        <v>292</v>
      </c>
      <c r="F5" s="141"/>
      <c r="G5" s="77" t="s">
        <v>293</v>
      </c>
      <c r="H5" s="57" t="s">
        <v>322</v>
      </c>
      <c r="I5" s="73">
        <f>WORK_PLACE2!$F$51</f>
        <v>0</v>
      </c>
    </row>
    <row r="6" spans="1:9" ht="15">
      <c r="A6" s="121" t="s">
        <v>294</v>
      </c>
      <c r="B6" s="121" t="s">
        <v>295</v>
      </c>
      <c r="C6" s="59" t="s">
        <v>345</v>
      </c>
      <c r="D6" s="59" t="s">
        <v>332</v>
      </c>
      <c r="E6" s="59" t="s">
        <v>333</v>
      </c>
      <c r="F6" s="59" t="s">
        <v>334</v>
      </c>
      <c r="G6" s="59" t="s">
        <v>335</v>
      </c>
      <c r="H6" s="59" t="s">
        <v>336</v>
      </c>
      <c r="I6" s="107" t="s">
        <v>337</v>
      </c>
    </row>
    <row r="7" spans="1:9" ht="15">
      <c r="A7" s="122"/>
      <c r="B7" s="122"/>
      <c r="C7" s="61" t="s">
        <v>296</v>
      </c>
      <c r="D7" s="61" t="s">
        <v>297</v>
      </c>
      <c r="E7" s="61" t="s">
        <v>298</v>
      </c>
      <c r="F7" s="61" t="s">
        <v>299</v>
      </c>
      <c r="G7" s="61" t="s">
        <v>300</v>
      </c>
      <c r="H7" s="61" t="s">
        <v>301</v>
      </c>
      <c r="I7" s="106" t="s">
        <v>302</v>
      </c>
    </row>
    <row r="8" spans="1:9" ht="28.8">
      <c r="A8" s="143">
        <f>WORK_PLACE!I8</f>
        <v>45673</v>
      </c>
      <c r="B8" s="65">
        <v>1</v>
      </c>
      <c r="C8" s="63"/>
      <c r="D8" s="63"/>
      <c r="E8" s="63"/>
      <c r="F8" s="63"/>
      <c r="G8" s="63"/>
      <c r="H8" s="108"/>
      <c r="I8" s="109" t="s">
        <v>346</v>
      </c>
    </row>
    <row r="9" spans="1:9" ht="15">
      <c r="A9" s="144"/>
      <c r="B9" s="65"/>
      <c r="C9" s="63"/>
      <c r="D9" s="63"/>
      <c r="E9" s="63"/>
      <c r="F9" s="63"/>
      <c r="G9" s="63"/>
      <c r="H9" s="108"/>
      <c r="I9" s="110"/>
    </row>
    <row r="10" spans="1:9" ht="28.8">
      <c r="A10" s="145">
        <f>A8+1</f>
        <v>45674</v>
      </c>
      <c r="B10" s="65">
        <v>2</v>
      </c>
      <c r="C10" s="63"/>
      <c r="D10" s="63"/>
      <c r="E10" s="63"/>
      <c r="F10" s="63"/>
      <c r="G10" s="63"/>
      <c r="H10" s="108"/>
      <c r="I10" s="109" t="s">
        <v>346</v>
      </c>
    </row>
    <row r="11" spans="1:9" ht="15">
      <c r="A11" s="144"/>
      <c r="B11" s="65"/>
      <c r="C11" s="63"/>
      <c r="D11" s="63"/>
      <c r="E11" s="63"/>
      <c r="F11" s="63"/>
      <c r="G11" s="63"/>
      <c r="H11" s="108"/>
      <c r="I11" s="110"/>
    </row>
    <row r="12" spans="1:9" ht="28.8">
      <c r="A12" s="145">
        <f>A8+2</f>
        <v>45675</v>
      </c>
      <c r="B12" s="65">
        <v>3</v>
      </c>
      <c r="C12" s="63"/>
      <c r="D12" s="63"/>
      <c r="E12" s="63"/>
      <c r="F12" s="63"/>
      <c r="G12" s="63"/>
      <c r="H12" s="108"/>
      <c r="I12" s="109" t="s">
        <v>346</v>
      </c>
    </row>
    <row r="13" spans="1:9" ht="15">
      <c r="A13" s="122"/>
      <c r="B13" s="65"/>
      <c r="C13" s="63"/>
      <c r="D13" s="63"/>
      <c r="E13" s="63"/>
      <c r="F13" s="63"/>
      <c r="G13" s="63"/>
      <c r="H13" s="108"/>
      <c r="I13" s="110"/>
    </row>
    <row r="14" spans="1:9" ht="19.5" customHeight="1">
      <c r="A14" s="66" t="s">
        <v>303</v>
      </c>
      <c r="B14" s="146" t="s">
        <v>304</v>
      </c>
      <c r="C14" s="147"/>
      <c r="D14" s="63" t="s">
        <v>305</v>
      </c>
      <c r="E14" s="63" t="s">
        <v>306</v>
      </c>
      <c r="F14" s="63" t="s">
        <v>307</v>
      </c>
      <c r="G14" s="154" t="s">
        <v>308</v>
      </c>
      <c r="H14" s="154"/>
      <c r="I14" s="154"/>
    </row>
    <row r="15" spans="1:9" ht="15">
      <c r="A15" s="67"/>
      <c r="B15" s="68"/>
      <c r="C15" s="68"/>
      <c r="D15" s="69"/>
      <c r="E15" s="69"/>
      <c r="F15" s="69"/>
      <c r="G15" s="69"/>
      <c r="H15" s="69"/>
    </row>
    <row r="16" spans="1:9" ht="15.6">
      <c r="A16" s="160" t="s">
        <v>309</v>
      </c>
      <c r="B16" s="160"/>
      <c r="C16" s="160"/>
      <c r="D16" s="160"/>
      <c r="E16" s="163" t="s">
        <v>310</v>
      </c>
      <c r="F16" s="164"/>
      <c r="G16" s="161" t="s">
        <v>311</v>
      </c>
      <c r="H16" s="161"/>
      <c r="I16" s="161"/>
    </row>
    <row r="17" spans="1:8" ht="15.6">
      <c r="A17" s="153" t="s">
        <v>312</v>
      </c>
      <c r="B17" s="153"/>
      <c r="C17" s="153"/>
      <c r="D17" s="153"/>
      <c r="E17" s="162"/>
      <c r="F17" s="162"/>
      <c r="G17" s="71"/>
      <c r="H17" s="71"/>
    </row>
    <row r="18" spans="1:8" ht="15.6">
      <c r="A18" s="153" t="s">
        <v>313</v>
      </c>
      <c r="B18" s="153"/>
      <c r="C18" s="153"/>
      <c r="D18" s="153"/>
      <c r="E18" s="71"/>
      <c r="F18" s="71"/>
      <c r="G18" s="71"/>
      <c r="H18" s="71"/>
    </row>
    <row r="19" spans="1:8" ht="15.6">
      <c r="A19" s="153" t="s">
        <v>314</v>
      </c>
      <c r="B19" s="153"/>
      <c r="C19" s="153"/>
      <c r="D19" s="153"/>
      <c r="E19" s="71"/>
      <c r="F19" s="71"/>
      <c r="G19" s="71"/>
      <c r="H19" s="71"/>
    </row>
    <row r="20" spans="1:8" ht="15.6">
      <c r="A20" s="153" t="s">
        <v>315</v>
      </c>
      <c r="B20" s="153"/>
      <c r="C20" s="153"/>
      <c r="D20" s="153"/>
      <c r="E20" s="71"/>
      <c r="F20" s="71"/>
      <c r="G20" s="71"/>
      <c r="H20" s="71"/>
    </row>
    <row r="21" spans="1:8" ht="15.6">
      <c r="A21" s="153" t="s">
        <v>316</v>
      </c>
      <c r="B21" s="153"/>
      <c r="C21" s="153"/>
      <c r="D21" s="153"/>
      <c r="E21" s="71"/>
      <c r="F21" s="71"/>
      <c r="G21" s="71"/>
      <c r="H21" s="71"/>
    </row>
    <row r="22" spans="1:8" ht="15.6">
      <c r="A22" s="153" t="s">
        <v>317</v>
      </c>
      <c r="B22" s="153"/>
      <c r="C22" s="153"/>
      <c r="D22" s="153"/>
      <c r="E22" s="71"/>
      <c r="F22" s="71"/>
      <c r="G22" s="71"/>
      <c r="H22" s="71"/>
    </row>
    <row r="23" spans="1:8" ht="15.6">
      <c r="A23" s="153" t="s">
        <v>318</v>
      </c>
      <c r="B23" s="153"/>
      <c r="C23" s="153"/>
      <c r="D23" s="153"/>
      <c r="E23" s="71"/>
      <c r="F23" s="71"/>
      <c r="G23" s="71"/>
      <c r="H23" s="71"/>
    </row>
  </sheetData>
  <sheetProtection password="CC3D" sheet="1" objects="1" scenarios="1"/>
  <mergeCells count="29">
    <mergeCell ref="A21:D21"/>
    <mergeCell ref="A22:D22"/>
    <mergeCell ref="A23:D23"/>
    <mergeCell ref="A17:D17"/>
    <mergeCell ref="E17:F17"/>
    <mergeCell ref="A18:D18"/>
    <mergeCell ref="A19:D19"/>
    <mergeCell ref="A20:D20"/>
    <mergeCell ref="A4:B4"/>
    <mergeCell ref="C4:F4"/>
    <mergeCell ref="A5:B5"/>
    <mergeCell ref="C5:D5"/>
    <mergeCell ref="E5:F5"/>
    <mergeCell ref="A1:B1"/>
    <mergeCell ref="C1:G1"/>
    <mergeCell ref="A2:B2"/>
    <mergeCell ref="C2:G2"/>
    <mergeCell ref="A3:B3"/>
    <mergeCell ref="C3:G3"/>
    <mergeCell ref="G16:I16"/>
    <mergeCell ref="G14:I14"/>
    <mergeCell ref="A16:D16"/>
    <mergeCell ref="A6:A7"/>
    <mergeCell ref="B6:B7"/>
    <mergeCell ref="A8:A9"/>
    <mergeCell ref="A10:A11"/>
    <mergeCell ref="A12:A13"/>
    <mergeCell ref="B14:C14"/>
    <mergeCell ref="E16:F16"/>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COUNT_Button1_Click">
                <anchor moveWithCells="1" sizeWithCells="1">
                  <from>
                    <xdr:col>10</xdr:col>
                    <xdr:colOff>259080</xdr:colOff>
                    <xdr:row>2</xdr:row>
                    <xdr:rowOff>198120</xdr:rowOff>
                  </from>
                  <to>
                    <xdr:col>14</xdr:col>
                    <xdr:colOff>426720</xdr:colOff>
                    <xdr:row>4</xdr:row>
                    <xdr:rowOff>213360</xdr:rowOff>
                  </to>
                </anchor>
              </controlPr>
            </control>
          </mc:Choice>
        </mc:AlternateContent>
        <mc:AlternateContent xmlns:mc="http://schemas.openxmlformats.org/markup-compatibility/2006">
          <mc:Choice Requires="x14">
            <control shapeId="45058" r:id="rId5" name="Button 2">
              <controlPr defaultSize="0" print="0" autoFill="0" autoPict="0" macro="[0]!SCHEDULE86_Button2_Click">
                <anchor moveWithCells="1" sizeWithCells="1">
                  <from>
                    <xdr:col>10</xdr:col>
                    <xdr:colOff>236220</xdr:colOff>
                    <xdr:row>0</xdr:row>
                    <xdr:rowOff>198120</xdr:rowOff>
                  </from>
                  <to>
                    <xdr:col>14</xdr:col>
                    <xdr:colOff>434340</xdr:colOff>
                    <xdr:row>1</xdr:row>
                    <xdr:rowOff>213360</xdr:rowOff>
                  </to>
                </anchor>
              </controlPr>
            </control>
          </mc:Choice>
        </mc:AlternateContent>
        <mc:AlternateContent xmlns:mc="http://schemas.openxmlformats.org/markup-compatibility/2006">
          <mc:Choice Requires="x14">
            <control shapeId="45062" r:id="rId6" name="Button 6">
              <controlPr defaultSize="0" print="0" autoFill="0" autoPict="0" macro="[0]!Button5_Click">
                <anchor moveWithCells="1" sizeWithCells="1">
                  <from>
                    <xdr:col>10</xdr:col>
                    <xdr:colOff>297180</xdr:colOff>
                    <xdr:row>6</xdr:row>
                    <xdr:rowOff>68580</xdr:rowOff>
                  </from>
                  <to>
                    <xdr:col>14</xdr:col>
                    <xdr:colOff>403860</xdr:colOff>
                    <xdr:row>7</xdr:row>
                    <xdr:rowOff>434340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dimension ref="A1:I21"/>
  <sheetViews>
    <sheetView showGridLines="0" view="pageBreakPreview" zoomScale="60" workbookViewId="0">
      <selection activeCell="F40" sqref="F40"/>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24" t="s">
        <v>281</v>
      </c>
      <c r="B1" s="125"/>
      <c r="C1" s="157" t="s">
        <v>282</v>
      </c>
      <c r="D1" s="158"/>
      <c r="E1" s="158"/>
      <c r="F1" s="158"/>
      <c r="G1" s="158"/>
      <c r="H1" s="74"/>
    </row>
    <row r="2" spans="1:9" ht="18" customHeight="1">
      <c r="A2" s="124" t="s">
        <v>283</v>
      </c>
      <c r="B2" s="125"/>
      <c r="C2" s="133" t="s">
        <v>284</v>
      </c>
      <c r="D2" s="159"/>
      <c r="E2" s="159"/>
      <c r="F2" s="159"/>
      <c r="G2" s="159"/>
      <c r="H2" s="75"/>
    </row>
    <row r="3" spans="1:9" ht="18" customHeight="1">
      <c r="A3" s="124" t="s">
        <v>285</v>
      </c>
      <c r="B3" s="125"/>
      <c r="C3" s="133" t="s">
        <v>286</v>
      </c>
      <c r="D3" s="159"/>
      <c r="E3" s="159"/>
      <c r="F3" s="159"/>
      <c r="G3" s="159"/>
      <c r="H3" s="75"/>
    </row>
    <row r="4" spans="1:9" ht="23.4">
      <c r="A4" s="124" t="s">
        <v>287</v>
      </c>
      <c r="B4" s="125"/>
      <c r="C4" s="134" t="s">
        <v>329</v>
      </c>
      <c r="D4" s="135"/>
      <c r="E4" s="135"/>
      <c r="F4" s="135"/>
      <c r="G4" s="57" t="s">
        <v>289</v>
      </c>
      <c r="H4" s="57" t="s">
        <v>321</v>
      </c>
      <c r="I4" s="58" t="str">
        <f>IF(WORK_PLACE2!$K$6=1,"T1",IF(WORK_PLACE2!$K$6=2,"T2","T3"))</f>
        <v>T3</v>
      </c>
    </row>
    <row r="5" spans="1:9" ht="24.6" customHeight="1">
      <c r="A5" s="137" t="s">
        <v>290</v>
      </c>
      <c r="B5" s="138"/>
      <c r="C5" s="139" t="s">
        <v>291</v>
      </c>
      <c r="D5" s="139"/>
      <c r="E5" s="140" t="s">
        <v>292</v>
      </c>
      <c r="F5" s="141"/>
      <c r="G5" s="77" t="s">
        <v>293</v>
      </c>
      <c r="H5" s="57" t="s">
        <v>322</v>
      </c>
      <c r="I5" s="73">
        <f>WORK_PLACE2!$F$51</f>
        <v>0</v>
      </c>
    </row>
    <row r="6" spans="1:9" ht="15">
      <c r="A6" s="121" t="s">
        <v>294</v>
      </c>
      <c r="B6" s="121" t="s">
        <v>295</v>
      </c>
      <c r="C6" s="59" t="s">
        <v>345</v>
      </c>
      <c r="D6" s="59" t="s">
        <v>332</v>
      </c>
      <c r="E6" s="59" t="s">
        <v>333</v>
      </c>
      <c r="F6" s="59" t="s">
        <v>334</v>
      </c>
      <c r="G6" s="59" t="s">
        <v>335</v>
      </c>
      <c r="H6" s="59" t="s">
        <v>336</v>
      </c>
      <c r="I6" s="107" t="s">
        <v>337</v>
      </c>
    </row>
    <row r="7" spans="1:9" ht="15">
      <c r="A7" s="122"/>
      <c r="B7" s="122"/>
      <c r="C7" s="61" t="s">
        <v>296</v>
      </c>
      <c r="D7" s="61" t="s">
        <v>297</v>
      </c>
      <c r="E7" s="61" t="s">
        <v>298</v>
      </c>
      <c r="F7" s="61" t="s">
        <v>299</v>
      </c>
      <c r="G7" s="61" t="s">
        <v>300</v>
      </c>
      <c r="H7" s="61" t="s">
        <v>301</v>
      </c>
      <c r="I7" s="106" t="s">
        <v>302</v>
      </c>
    </row>
    <row r="8" spans="1:9" ht="28.8">
      <c r="A8" s="143">
        <f>WORK_PLACE!I8</f>
        <v>45673</v>
      </c>
      <c r="B8" s="65">
        <v>1</v>
      </c>
      <c r="C8" s="63"/>
      <c r="D8" s="63"/>
      <c r="E8" s="63"/>
      <c r="F8" s="63"/>
      <c r="G8" s="63"/>
      <c r="H8" s="108"/>
      <c r="I8" s="109" t="s">
        <v>346</v>
      </c>
    </row>
    <row r="9" spans="1:9" ht="15">
      <c r="A9" s="144"/>
      <c r="B9" s="65"/>
      <c r="C9" s="63"/>
      <c r="D9" s="63"/>
      <c r="E9" s="63"/>
      <c r="F9" s="63"/>
      <c r="G9" s="63"/>
      <c r="H9" s="108"/>
      <c r="I9" s="110"/>
    </row>
    <row r="10" spans="1:9" ht="28.8">
      <c r="A10" s="145">
        <f>A8+1</f>
        <v>45674</v>
      </c>
      <c r="B10" s="65">
        <v>2</v>
      </c>
      <c r="C10" s="63"/>
      <c r="D10" s="63"/>
      <c r="E10" s="63"/>
      <c r="F10" s="63"/>
      <c r="G10" s="63"/>
      <c r="H10" s="108"/>
      <c r="I10" s="109" t="s">
        <v>346</v>
      </c>
    </row>
    <row r="11" spans="1:9" ht="15">
      <c r="A11" s="144"/>
      <c r="B11" s="65"/>
      <c r="C11" s="63"/>
      <c r="D11" s="63"/>
      <c r="E11" s="63"/>
      <c r="F11" s="63"/>
      <c r="G11" s="63"/>
      <c r="H11" s="108"/>
      <c r="I11" s="110"/>
    </row>
    <row r="12" spans="1:9" ht="19.5" customHeight="1">
      <c r="A12" s="66" t="s">
        <v>303</v>
      </c>
      <c r="B12" s="146" t="s">
        <v>304</v>
      </c>
      <c r="C12" s="147"/>
      <c r="D12" s="63" t="s">
        <v>305</v>
      </c>
      <c r="E12" s="63" t="s">
        <v>306</v>
      </c>
      <c r="F12" s="63" t="s">
        <v>307</v>
      </c>
      <c r="G12" s="154" t="s">
        <v>308</v>
      </c>
      <c r="H12" s="154"/>
      <c r="I12" s="154"/>
    </row>
    <row r="13" spans="1:9" ht="15">
      <c r="A13" s="67"/>
      <c r="B13" s="68"/>
      <c r="C13" s="68"/>
      <c r="D13" s="69"/>
      <c r="E13" s="69"/>
      <c r="F13" s="69"/>
      <c r="G13" s="69"/>
      <c r="H13" s="69"/>
    </row>
    <row r="14" spans="1:9" ht="15.6">
      <c r="A14" s="160" t="s">
        <v>309</v>
      </c>
      <c r="B14" s="160"/>
      <c r="C14" s="160"/>
      <c r="D14" s="160"/>
      <c r="E14" s="163" t="s">
        <v>310</v>
      </c>
      <c r="F14" s="164"/>
      <c r="G14" s="161" t="s">
        <v>311</v>
      </c>
      <c r="H14" s="161"/>
      <c r="I14" s="161"/>
    </row>
    <row r="15" spans="1:9" ht="15.6">
      <c r="A15" s="153" t="s">
        <v>312</v>
      </c>
      <c r="B15" s="153"/>
      <c r="C15" s="153"/>
      <c r="D15" s="153"/>
      <c r="E15" s="162"/>
      <c r="F15" s="162"/>
      <c r="G15" s="71"/>
      <c r="H15" s="71"/>
    </row>
    <row r="16" spans="1:9" ht="15.6">
      <c r="A16" s="153" t="s">
        <v>313</v>
      </c>
      <c r="B16" s="153"/>
      <c r="C16" s="153"/>
      <c r="D16" s="153"/>
      <c r="E16" s="71"/>
      <c r="F16" s="71"/>
      <c r="G16" s="71"/>
      <c r="H16" s="71"/>
    </row>
    <row r="17" spans="1:8" ht="15.6">
      <c r="A17" s="153" t="s">
        <v>314</v>
      </c>
      <c r="B17" s="153"/>
      <c r="C17" s="153"/>
      <c r="D17" s="153"/>
      <c r="E17" s="71"/>
      <c r="F17" s="71"/>
      <c r="G17" s="71"/>
      <c r="H17" s="71"/>
    </row>
    <row r="18" spans="1:8" ht="15.6">
      <c r="A18" s="153" t="s">
        <v>315</v>
      </c>
      <c r="B18" s="153"/>
      <c r="C18" s="153"/>
      <c r="D18" s="153"/>
      <c r="E18" s="71"/>
      <c r="F18" s="71"/>
      <c r="G18" s="71"/>
      <c r="H18" s="71"/>
    </row>
    <row r="19" spans="1:8" ht="15.6">
      <c r="A19" s="153" t="s">
        <v>316</v>
      </c>
      <c r="B19" s="153"/>
      <c r="C19" s="153"/>
      <c r="D19" s="153"/>
      <c r="E19" s="71"/>
      <c r="F19" s="71"/>
      <c r="G19" s="71"/>
      <c r="H19" s="71"/>
    </row>
    <row r="20" spans="1:8" ht="15.6">
      <c r="A20" s="153" t="s">
        <v>317</v>
      </c>
      <c r="B20" s="153"/>
      <c r="C20" s="153"/>
      <c r="D20" s="153"/>
      <c r="E20" s="71"/>
      <c r="F20" s="71"/>
      <c r="G20" s="71"/>
      <c r="H20" s="71"/>
    </row>
    <row r="21" spans="1:8" ht="15.6">
      <c r="A21" s="153" t="s">
        <v>318</v>
      </c>
      <c r="B21" s="153"/>
      <c r="C21" s="153"/>
      <c r="D21" s="153"/>
      <c r="E21" s="71"/>
      <c r="F21" s="71"/>
      <c r="G21" s="71"/>
      <c r="H21" s="71"/>
    </row>
  </sheetData>
  <sheetProtection password="CC3D" sheet="1" objects="1" scenarios="1"/>
  <mergeCells count="28">
    <mergeCell ref="A20:D20"/>
    <mergeCell ref="A21:D21"/>
    <mergeCell ref="A15:D15"/>
    <mergeCell ref="E15:F15"/>
    <mergeCell ref="A16:D16"/>
    <mergeCell ref="A17:D17"/>
    <mergeCell ref="A18:D18"/>
    <mergeCell ref="A19:D19"/>
    <mergeCell ref="A8:A9"/>
    <mergeCell ref="A10:A11"/>
    <mergeCell ref="B12:C12"/>
    <mergeCell ref="E14:F14"/>
    <mergeCell ref="G14:I14"/>
    <mergeCell ref="G12:I12"/>
    <mergeCell ref="A14:D14"/>
    <mergeCell ref="A6:A7"/>
    <mergeCell ref="B6:B7"/>
    <mergeCell ref="A1:B1"/>
    <mergeCell ref="C1:G1"/>
    <mergeCell ref="A2:B2"/>
    <mergeCell ref="C2:G2"/>
    <mergeCell ref="A3:B3"/>
    <mergeCell ref="C3:G3"/>
    <mergeCell ref="A4:B4"/>
    <mergeCell ref="C4:F4"/>
    <mergeCell ref="A5:B5"/>
    <mergeCell ref="C5:D5"/>
    <mergeCell ref="E5:F5"/>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COUNT_Button1_Click">
                <anchor moveWithCells="1" sizeWithCells="1">
                  <from>
                    <xdr:col>10</xdr:col>
                    <xdr:colOff>259080</xdr:colOff>
                    <xdr:row>2</xdr:row>
                    <xdr:rowOff>198120</xdr:rowOff>
                  </from>
                  <to>
                    <xdr:col>14</xdr:col>
                    <xdr:colOff>426720</xdr:colOff>
                    <xdr:row>4</xdr:row>
                    <xdr:rowOff>213360</xdr:rowOff>
                  </to>
                </anchor>
              </controlPr>
            </control>
          </mc:Choice>
        </mc:AlternateContent>
        <mc:AlternateContent xmlns:mc="http://schemas.openxmlformats.org/markup-compatibility/2006">
          <mc:Choice Requires="x14">
            <control shapeId="46082" r:id="rId5" name="Button 2">
              <controlPr defaultSize="0" print="0" autoFill="0" autoPict="0" macro="[0]!SCHEDULE86_Button2_Click">
                <anchor moveWithCells="1" sizeWithCells="1">
                  <from>
                    <xdr:col>10</xdr:col>
                    <xdr:colOff>236220</xdr:colOff>
                    <xdr:row>0</xdr:row>
                    <xdr:rowOff>198120</xdr:rowOff>
                  </from>
                  <to>
                    <xdr:col>14</xdr:col>
                    <xdr:colOff>434340</xdr:colOff>
                    <xdr:row>1</xdr:row>
                    <xdr:rowOff>213360</xdr:rowOff>
                  </to>
                </anchor>
              </controlPr>
            </control>
          </mc:Choice>
        </mc:AlternateContent>
        <mc:AlternateContent xmlns:mc="http://schemas.openxmlformats.org/markup-compatibility/2006">
          <mc:Choice Requires="x14">
            <control shapeId="46084" r:id="rId6" name="Button 4">
              <controlPr defaultSize="0" print="0" autoFill="0" autoPict="0" macro="[0]!Button5_Click">
                <anchor moveWithCells="1" sizeWithCells="1">
                  <from>
                    <xdr:col>10</xdr:col>
                    <xdr:colOff>297180</xdr:colOff>
                    <xdr:row>6</xdr:row>
                    <xdr:rowOff>68580</xdr:rowOff>
                  </from>
                  <to>
                    <xdr:col>14</xdr:col>
                    <xdr:colOff>403860</xdr:colOff>
                    <xdr:row>7</xdr:row>
                    <xdr:rowOff>434340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7"/>
  <dimension ref="A1:I19"/>
  <sheetViews>
    <sheetView showGridLines="0" view="pageBreakPreview" zoomScale="70" zoomScaleSheetLayoutView="70" workbookViewId="0">
      <selection activeCell="B10" sqref="B10:C10"/>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24" t="s">
        <v>281</v>
      </c>
      <c r="B1" s="125"/>
      <c r="C1" s="157" t="s">
        <v>282</v>
      </c>
      <c r="D1" s="158"/>
      <c r="E1" s="158"/>
      <c r="F1" s="158"/>
      <c r="G1" s="158"/>
      <c r="H1" s="74"/>
    </row>
    <row r="2" spans="1:9" ht="18" customHeight="1">
      <c r="A2" s="124" t="s">
        <v>283</v>
      </c>
      <c r="B2" s="125"/>
      <c r="C2" s="133" t="s">
        <v>284</v>
      </c>
      <c r="D2" s="159"/>
      <c r="E2" s="159"/>
      <c r="F2" s="159"/>
      <c r="G2" s="159"/>
      <c r="H2" s="75"/>
    </row>
    <row r="3" spans="1:9" ht="18" customHeight="1">
      <c r="A3" s="124" t="s">
        <v>285</v>
      </c>
      <c r="B3" s="125"/>
      <c r="C3" s="133" t="s">
        <v>286</v>
      </c>
      <c r="D3" s="159"/>
      <c r="E3" s="159"/>
      <c r="F3" s="159"/>
      <c r="G3" s="159"/>
      <c r="H3" s="75"/>
    </row>
    <row r="4" spans="1:9" ht="23.4">
      <c r="A4" s="124" t="s">
        <v>287</v>
      </c>
      <c r="B4" s="125"/>
      <c r="C4" s="134" t="s">
        <v>329</v>
      </c>
      <c r="D4" s="135"/>
      <c r="E4" s="135"/>
      <c r="F4" s="135"/>
      <c r="G4" s="57" t="s">
        <v>289</v>
      </c>
      <c r="H4" s="57" t="s">
        <v>321</v>
      </c>
      <c r="I4" s="58" t="str">
        <f>IF(WORK_PLACE2!$K$6=1,"T1",IF(WORK_PLACE2!$K$6=2,"T2","T3"))</f>
        <v>T3</v>
      </c>
    </row>
    <row r="5" spans="1:9" ht="24.6" customHeight="1">
      <c r="A5" s="137" t="s">
        <v>290</v>
      </c>
      <c r="B5" s="138"/>
      <c r="C5" s="139" t="s">
        <v>291</v>
      </c>
      <c r="D5" s="139"/>
      <c r="E5" s="140" t="s">
        <v>292</v>
      </c>
      <c r="F5" s="141"/>
      <c r="G5" s="77" t="s">
        <v>293</v>
      </c>
      <c r="H5" s="57" t="s">
        <v>322</v>
      </c>
      <c r="I5" s="73">
        <f>WORK_PLACE2!$F$51</f>
        <v>0</v>
      </c>
    </row>
    <row r="6" spans="1:9" ht="15">
      <c r="A6" s="121" t="s">
        <v>294</v>
      </c>
      <c r="B6" s="121" t="s">
        <v>295</v>
      </c>
      <c r="C6" s="59" t="s">
        <v>345</v>
      </c>
      <c r="D6" s="59" t="s">
        <v>332</v>
      </c>
      <c r="E6" s="59" t="s">
        <v>333</v>
      </c>
      <c r="F6" s="59" t="s">
        <v>334</v>
      </c>
      <c r="G6" s="59" t="s">
        <v>335</v>
      </c>
      <c r="H6" s="59" t="s">
        <v>336</v>
      </c>
      <c r="I6" s="107" t="s">
        <v>337</v>
      </c>
    </row>
    <row r="7" spans="1:9" ht="15">
      <c r="A7" s="122"/>
      <c r="B7" s="122"/>
      <c r="C7" s="61" t="s">
        <v>296</v>
      </c>
      <c r="D7" s="61" t="s">
        <v>297</v>
      </c>
      <c r="E7" s="61" t="s">
        <v>298</v>
      </c>
      <c r="F7" s="61" t="s">
        <v>299</v>
      </c>
      <c r="G7" s="61" t="s">
        <v>300</v>
      </c>
      <c r="H7" s="61" t="s">
        <v>301</v>
      </c>
      <c r="I7" s="106" t="s">
        <v>302</v>
      </c>
    </row>
    <row r="8" spans="1:9" ht="195">
      <c r="A8" s="143">
        <f>WORK_PLACE!I8</f>
        <v>45673</v>
      </c>
      <c r="B8" s="65">
        <v>1</v>
      </c>
      <c r="C8" s="63" t="s">
        <v>355</v>
      </c>
      <c r="D8" s="63" t="s">
        <v>356</v>
      </c>
      <c r="E8" s="63" t="s">
        <v>357</v>
      </c>
      <c r="F8" s="63" t="s">
        <v>358</v>
      </c>
      <c r="G8" s="63" t="s">
        <v>359</v>
      </c>
      <c r="H8" s="108" t="s">
        <v>360</v>
      </c>
      <c r="I8" s="109" t="s">
        <v>346</v>
      </c>
    </row>
    <row r="9" spans="1:9" ht="15">
      <c r="A9" s="144"/>
      <c r="B9" s="65"/>
      <c r="C9" s="63" t="s">
        <v>361</v>
      </c>
      <c r="D9" s="63" t="s">
        <v>362</v>
      </c>
      <c r="E9" s="63" t="s">
        <v>363</v>
      </c>
      <c r="F9" s="63" t="s">
        <v>363</v>
      </c>
      <c r="G9" s="63" t="s">
        <v>363</v>
      </c>
      <c r="H9" s="108" t="s">
        <v>363</v>
      </c>
      <c r="I9" s="110"/>
    </row>
    <row r="10" spans="1:9" ht="19.5" customHeight="1">
      <c r="A10" s="66" t="s">
        <v>303</v>
      </c>
      <c r="B10" s="146" t="s">
        <v>304</v>
      </c>
      <c r="C10" s="147"/>
      <c r="D10" s="63" t="s">
        <v>305</v>
      </c>
      <c r="E10" s="63" t="s">
        <v>306</v>
      </c>
      <c r="F10" s="63" t="s">
        <v>307</v>
      </c>
      <c r="G10" s="154" t="s">
        <v>308</v>
      </c>
      <c r="H10" s="154"/>
      <c r="I10" s="154"/>
    </row>
    <row r="11" spans="1:9" ht="15">
      <c r="A11" s="67"/>
      <c r="B11" s="68"/>
      <c r="C11" s="68"/>
      <c r="D11" s="69"/>
      <c r="E11" s="69"/>
      <c r="F11" s="69"/>
      <c r="G11" s="69"/>
      <c r="H11" s="69"/>
    </row>
    <row r="12" spans="1:9" ht="15.6">
      <c r="A12" s="160" t="s">
        <v>309</v>
      </c>
      <c r="B12" s="160"/>
      <c r="C12" s="160"/>
      <c r="D12" s="160"/>
      <c r="E12" s="163" t="s">
        <v>310</v>
      </c>
      <c r="F12" s="164"/>
      <c r="G12" s="161" t="s">
        <v>311</v>
      </c>
      <c r="H12" s="161"/>
      <c r="I12" s="161"/>
    </row>
    <row r="13" spans="1:9" ht="15.6">
      <c r="A13" s="153" t="s">
        <v>312</v>
      </c>
      <c r="B13" s="153"/>
      <c r="C13" s="153"/>
      <c r="D13" s="153"/>
      <c r="E13" s="162"/>
      <c r="F13" s="162"/>
      <c r="G13" s="71"/>
      <c r="H13" s="71"/>
    </row>
    <row r="14" spans="1:9" ht="15.6">
      <c r="A14" s="153" t="s">
        <v>313</v>
      </c>
      <c r="B14" s="153"/>
      <c r="C14" s="153"/>
      <c r="D14" s="153"/>
      <c r="E14" s="71"/>
      <c r="F14" s="71"/>
      <c r="G14" s="71"/>
      <c r="H14" s="71"/>
    </row>
    <row r="15" spans="1:9" ht="15.6">
      <c r="A15" s="153" t="s">
        <v>314</v>
      </c>
      <c r="B15" s="153"/>
      <c r="C15" s="153"/>
      <c r="D15" s="153"/>
      <c r="E15" s="71"/>
      <c r="F15" s="71"/>
      <c r="G15" s="71"/>
      <c r="H15" s="71"/>
    </row>
    <row r="16" spans="1:9" ht="15.6">
      <c r="A16" s="153" t="s">
        <v>315</v>
      </c>
      <c r="B16" s="153"/>
      <c r="C16" s="153"/>
      <c r="D16" s="153"/>
      <c r="E16" s="71"/>
      <c r="F16" s="71"/>
      <c r="G16" s="71"/>
      <c r="H16" s="71"/>
    </row>
    <row r="17" spans="1:8" ht="15.6">
      <c r="A17" s="153" t="s">
        <v>316</v>
      </c>
      <c r="B17" s="153"/>
      <c r="C17" s="153"/>
      <c r="D17" s="153"/>
      <c r="E17" s="71"/>
      <c r="F17" s="71"/>
      <c r="G17" s="71"/>
      <c r="H17" s="71"/>
    </row>
    <row r="18" spans="1:8" ht="15.6">
      <c r="A18" s="153" t="s">
        <v>317</v>
      </c>
      <c r="B18" s="153"/>
      <c r="C18" s="153"/>
      <c r="D18" s="153"/>
      <c r="E18" s="71"/>
      <c r="F18" s="71"/>
      <c r="G18" s="71"/>
      <c r="H18" s="71"/>
    </row>
    <row r="19" spans="1:8" ht="15.6">
      <c r="A19" s="153" t="s">
        <v>318</v>
      </c>
      <c r="B19" s="153"/>
      <c r="C19" s="153"/>
      <c r="D19" s="153"/>
      <c r="E19" s="71"/>
      <c r="F19" s="71"/>
      <c r="G19" s="71"/>
      <c r="H19" s="71"/>
    </row>
  </sheetData>
  <mergeCells count="27">
    <mergeCell ref="E13:F13"/>
    <mergeCell ref="A18:D18"/>
    <mergeCell ref="A19:D19"/>
    <mergeCell ref="A13:D13"/>
    <mergeCell ref="A14:D14"/>
    <mergeCell ref="A15:D15"/>
    <mergeCell ref="A16:D16"/>
    <mergeCell ref="A17:D17"/>
    <mergeCell ref="A8:A9"/>
    <mergeCell ref="B10:C10"/>
    <mergeCell ref="E12:F12"/>
    <mergeCell ref="G10:I10"/>
    <mergeCell ref="G12:I12"/>
    <mergeCell ref="A12:D12"/>
    <mergeCell ref="A6:A7"/>
    <mergeCell ref="B6:B7"/>
    <mergeCell ref="A1:B1"/>
    <mergeCell ref="C1:G1"/>
    <mergeCell ref="A2:B2"/>
    <mergeCell ref="C2:G2"/>
    <mergeCell ref="A3:B3"/>
    <mergeCell ref="C3:G3"/>
    <mergeCell ref="A4:B4"/>
    <mergeCell ref="C4:F4"/>
    <mergeCell ref="A5:B5"/>
    <mergeCell ref="C5:D5"/>
    <mergeCell ref="E5:F5"/>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1" r:id="rId4" name="Button 7">
              <controlPr defaultSize="0" print="0" autoFill="0" autoPict="0" macro="[0]!COUNT_Button1_Click">
                <anchor moveWithCells="1" sizeWithCells="1">
                  <from>
                    <xdr:col>10</xdr:col>
                    <xdr:colOff>304800</xdr:colOff>
                    <xdr:row>6</xdr:row>
                    <xdr:rowOff>15240</xdr:rowOff>
                  </from>
                  <to>
                    <xdr:col>14</xdr:col>
                    <xdr:colOff>525780</xdr:colOff>
                    <xdr:row>7</xdr:row>
                    <xdr:rowOff>297180</xdr:rowOff>
                  </to>
                </anchor>
              </controlPr>
            </control>
          </mc:Choice>
        </mc:AlternateContent>
        <mc:AlternateContent xmlns:mc="http://schemas.openxmlformats.org/markup-compatibility/2006">
          <mc:Choice Requires="x14">
            <control shapeId="47112" r:id="rId5" name="Button 8">
              <controlPr defaultSize="0" print="0" autoFill="0" autoPict="0" macro="[0]!SCHEDULE86_Button2_Click">
                <anchor moveWithCells="1" sizeWithCells="1">
                  <from>
                    <xdr:col>10</xdr:col>
                    <xdr:colOff>304800</xdr:colOff>
                    <xdr:row>3</xdr:row>
                    <xdr:rowOff>22860</xdr:rowOff>
                  </from>
                  <to>
                    <xdr:col>14</xdr:col>
                    <xdr:colOff>502920</xdr:colOff>
                    <xdr:row>5</xdr:row>
                    <xdr:rowOff>15240</xdr:rowOff>
                  </to>
                </anchor>
              </controlPr>
            </control>
          </mc:Choice>
        </mc:AlternateContent>
        <mc:AlternateContent xmlns:mc="http://schemas.openxmlformats.org/markup-compatibility/2006">
          <mc:Choice Requires="x14">
            <control shapeId="47113" r:id="rId6" name="Button 9">
              <controlPr defaultSize="0" print="0" autoFill="0" autoPict="0" macro="[0]!Button5_Click">
                <anchor moveWithCells="1" sizeWithCells="1">
                  <from>
                    <xdr:col>10</xdr:col>
                    <xdr:colOff>304800</xdr:colOff>
                    <xdr:row>7</xdr:row>
                    <xdr:rowOff>472440</xdr:rowOff>
                  </from>
                  <to>
                    <xdr:col>15</xdr:col>
                    <xdr:colOff>7620</xdr:colOff>
                    <xdr:row>7</xdr:row>
                    <xdr:rowOff>990600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dimension ref="A1:H31"/>
  <sheetViews>
    <sheetView showGridLines="0" view="pageBreakPreview" zoomScale="73" zoomScaleSheetLayoutView="40" workbookViewId="0">
      <selection activeCell="C8" sqref="C8:F21"/>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16384" width="8.88671875" style="42"/>
  </cols>
  <sheetData>
    <row r="1" spans="1:8" ht="42.6" customHeight="1">
      <c r="A1" s="124" t="s">
        <v>281</v>
      </c>
      <c r="B1" s="125"/>
      <c r="C1" s="157" t="s">
        <v>282</v>
      </c>
      <c r="D1" s="158"/>
      <c r="E1" s="158"/>
      <c r="F1" s="74"/>
    </row>
    <row r="2" spans="1:8" ht="18" customHeight="1">
      <c r="A2" s="124" t="s">
        <v>283</v>
      </c>
      <c r="B2" s="125"/>
      <c r="C2" s="133" t="s">
        <v>284</v>
      </c>
      <c r="D2" s="159"/>
      <c r="E2" s="159"/>
      <c r="F2" s="75"/>
    </row>
    <row r="3" spans="1:8" ht="18" customHeight="1">
      <c r="A3" s="124" t="s">
        <v>285</v>
      </c>
      <c r="B3" s="125"/>
      <c r="C3" s="133" t="s">
        <v>320</v>
      </c>
      <c r="D3" s="159"/>
      <c r="E3" s="159"/>
      <c r="F3" s="76"/>
    </row>
    <row r="4" spans="1:8" ht="23.4">
      <c r="A4" s="124" t="s">
        <v>287</v>
      </c>
      <c r="B4" s="125"/>
      <c r="C4" s="134" t="s">
        <v>319</v>
      </c>
      <c r="D4" s="135"/>
      <c r="E4" s="135"/>
      <c r="F4" s="78" t="s">
        <v>289</v>
      </c>
      <c r="G4" s="57" t="s">
        <v>321</v>
      </c>
      <c r="H4" s="79" t="str">
        <f>IF(WORK_PLACE2!$K$6=1,"T1",IF(WORK_PLACE2!$K$6=2,"T2","T3"))</f>
        <v>T3</v>
      </c>
    </row>
    <row r="5" spans="1:8" ht="24.6" customHeight="1">
      <c r="A5" s="137" t="s">
        <v>290</v>
      </c>
      <c r="B5" s="138"/>
      <c r="C5" s="139" t="s">
        <v>291</v>
      </c>
      <c r="D5" s="139"/>
      <c r="E5" s="80" t="s">
        <v>292</v>
      </c>
      <c r="F5" s="80" t="s">
        <v>293</v>
      </c>
      <c r="G5" s="57" t="s">
        <v>322</v>
      </c>
      <c r="H5" s="73">
        <f>WORK_PLACE2!$F$51</f>
        <v>0</v>
      </c>
    </row>
    <row r="6" spans="1:8" ht="15">
      <c r="A6" s="121" t="s">
        <v>294</v>
      </c>
      <c r="B6" s="121" t="s">
        <v>295</v>
      </c>
      <c r="C6" s="59" t="s">
        <v>331</v>
      </c>
      <c r="D6" s="59" t="s">
        <v>332</v>
      </c>
      <c r="E6" s="59" t="s">
        <v>333</v>
      </c>
      <c r="F6" s="59" t="s">
        <v>334</v>
      </c>
    </row>
    <row r="7" spans="1:8" ht="15">
      <c r="A7" s="122"/>
      <c r="B7" s="122"/>
      <c r="C7" s="61" t="s">
        <v>352</v>
      </c>
      <c r="D7" s="61" t="s">
        <v>353</v>
      </c>
      <c r="E7" s="61" t="s">
        <v>297</v>
      </c>
      <c r="F7" s="61" t="s">
        <v>298</v>
      </c>
    </row>
    <row r="8" spans="1:8" ht="57.6" customHeight="1">
      <c r="A8" s="143">
        <f>WORK_PLACE!I8</f>
        <v>45673</v>
      </c>
      <c r="B8" s="65">
        <v>1</v>
      </c>
      <c r="C8" s="63"/>
      <c r="D8" s="63"/>
      <c r="E8" s="63"/>
      <c r="F8" s="63"/>
    </row>
    <row r="9" spans="1:8" ht="15">
      <c r="A9" s="144"/>
      <c r="B9" s="65"/>
      <c r="C9" s="63"/>
      <c r="D9" s="63"/>
      <c r="E9" s="63"/>
      <c r="F9" s="63"/>
    </row>
    <row r="10" spans="1:8" ht="15">
      <c r="A10" s="145">
        <f>A8+1</f>
        <v>45674</v>
      </c>
      <c r="B10" s="65">
        <v>2</v>
      </c>
      <c r="C10" s="63"/>
      <c r="D10" s="63"/>
      <c r="E10" s="63"/>
      <c r="F10" s="63"/>
    </row>
    <row r="11" spans="1:8" ht="15">
      <c r="A11" s="144"/>
      <c r="B11" s="65"/>
      <c r="C11" s="63"/>
      <c r="D11" s="63"/>
      <c r="E11" s="63"/>
      <c r="F11" s="63"/>
    </row>
    <row r="12" spans="1:8" ht="105" customHeight="1">
      <c r="A12" s="145">
        <f>A8+2</f>
        <v>45675</v>
      </c>
      <c r="B12" s="65">
        <v>3</v>
      </c>
      <c r="C12" s="63"/>
      <c r="D12" s="63"/>
      <c r="E12" s="63"/>
      <c r="F12" s="63"/>
    </row>
    <row r="13" spans="1:8" ht="15">
      <c r="A13" s="122"/>
      <c r="B13" s="65"/>
      <c r="C13" s="63"/>
      <c r="D13" s="63"/>
      <c r="E13" s="63"/>
      <c r="F13" s="63"/>
    </row>
    <row r="14" spans="1:8" ht="15">
      <c r="A14" s="145">
        <f>A8+3</f>
        <v>45676</v>
      </c>
      <c r="B14" s="65">
        <v>4</v>
      </c>
      <c r="C14" s="63"/>
      <c r="D14" s="63"/>
      <c r="E14" s="63"/>
      <c r="F14" s="63"/>
    </row>
    <row r="15" spans="1:8" ht="15">
      <c r="A15" s="144"/>
      <c r="B15" s="65"/>
      <c r="C15" s="63"/>
      <c r="D15" s="63"/>
      <c r="E15" s="63"/>
      <c r="F15" s="63"/>
    </row>
    <row r="16" spans="1:8" ht="15">
      <c r="A16" s="145">
        <f t="shared" ref="A16" si="0">A10+3</f>
        <v>45677</v>
      </c>
      <c r="B16" s="65">
        <v>5</v>
      </c>
      <c r="C16" s="63"/>
      <c r="D16" s="63"/>
      <c r="E16" s="63"/>
      <c r="F16" s="63"/>
    </row>
    <row r="17" spans="1:6" ht="15">
      <c r="A17" s="144"/>
      <c r="B17" s="65"/>
      <c r="C17" s="63"/>
      <c r="D17" s="63"/>
      <c r="E17" s="63"/>
      <c r="F17" s="63"/>
    </row>
    <row r="18" spans="1:6" ht="15">
      <c r="A18" s="145">
        <f t="shared" ref="A18:A20" si="1">A12+3</f>
        <v>45678</v>
      </c>
      <c r="B18" s="65">
        <v>6</v>
      </c>
      <c r="C18" s="63"/>
      <c r="D18" s="63"/>
      <c r="E18" s="63"/>
      <c r="F18" s="63"/>
    </row>
    <row r="19" spans="1:6" ht="15">
      <c r="A19" s="144"/>
      <c r="B19" s="65"/>
      <c r="C19" s="63"/>
      <c r="D19" s="63"/>
      <c r="E19" s="63"/>
      <c r="F19" s="63"/>
    </row>
    <row r="20" spans="1:6" ht="15">
      <c r="A20" s="145">
        <f t="shared" si="1"/>
        <v>45679</v>
      </c>
      <c r="B20" s="65">
        <v>7</v>
      </c>
      <c r="C20" s="63"/>
      <c r="D20" s="63"/>
      <c r="E20" s="63"/>
      <c r="F20" s="63"/>
    </row>
    <row r="21" spans="1:6" ht="15">
      <c r="A21" s="144"/>
      <c r="B21" s="65"/>
      <c r="C21" s="63"/>
      <c r="D21" s="63"/>
      <c r="E21" s="63"/>
      <c r="F21" s="63"/>
    </row>
    <row r="22" spans="1:6" ht="19.95" customHeight="1">
      <c r="A22" s="66" t="s">
        <v>303</v>
      </c>
      <c r="B22" s="146" t="s">
        <v>304</v>
      </c>
      <c r="C22" s="147"/>
      <c r="D22" s="63" t="s">
        <v>305</v>
      </c>
      <c r="E22" s="63" t="s">
        <v>306</v>
      </c>
      <c r="F22" s="63" t="s">
        <v>307</v>
      </c>
    </row>
    <row r="23" spans="1:6" ht="15">
      <c r="A23" s="67"/>
      <c r="B23" s="68"/>
      <c r="C23" s="68"/>
      <c r="D23" s="69"/>
      <c r="E23" s="69"/>
      <c r="F23" s="69"/>
    </row>
    <row r="24" spans="1:6" ht="15.6">
      <c r="A24" s="71"/>
      <c r="B24" s="151" t="s">
        <v>309</v>
      </c>
      <c r="C24" s="152"/>
      <c r="D24" s="71"/>
      <c r="E24" s="151" t="s">
        <v>310</v>
      </c>
      <c r="F24" s="152"/>
    </row>
    <row r="25" spans="1:6" ht="15.6">
      <c r="A25" s="153" t="s">
        <v>312</v>
      </c>
      <c r="B25" s="153"/>
      <c r="C25" s="153"/>
      <c r="D25" s="153"/>
      <c r="E25" s="165" t="s">
        <v>311</v>
      </c>
      <c r="F25" s="165"/>
    </row>
    <row r="26" spans="1:6" ht="15.6">
      <c r="A26" s="153" t="s">
        <v>313</v>
      </c>
      <c r="B26" s="153"/>
      <c r="C26" s="153"/>
      <c r="D26" s="153"/>
      <c r="E26" s="71"/>
      <c r="F26" s="71"/>
    </row>
    <row r="27" spans="1:6" ht="15.6">
      <c r="A27" s="153" t="s">
        <v>314</v>
      </c>
      <c r="B27" s="153"/>
      <c r="C27" s="153"/>
      <c r="D27" s="153"/>
      <c r="E27" s="71"/>
      <c r="F27" s="71"/>
    </row>
    <row r="28" spans="1:6" ht="15.6">
      <c r="A28" s="153" t="s">
        <v>315</v>
      </c>
      <c r="B28" s="153"/>
      <c r="C28" s="153"/>
      <c r="D28" s="153"/>
      <c r="E28" s="71"/>
      <c r="F28" s="71"/>
    </row>
    <row r="29" spans="1:6" ht="15.6">
      <c r="A29" s="153" t="s">
        <v>316</v>
      </c>
      <c r="B29" s="153"/>
      <c r="C29" s="153"/>
      <c r="D29" s="153"/>
      <c r="E29" s="71"/>
      <c r="F29" s="71"/>
    </row>
    <row r="30" spans="1:6" ht="15.6">
      <c r="A30" s="153" t="s">
        <v>317</v>
      </c>
      <c r="B30" s="153"/>
      <c r="C30" s="153"/>
      <c r="D30" s="153"/>
      <c r="E30" s="71"/>
      <c r="F30" s="71"/>
    </row>
    <row r="31" spans="1:6" ht="15.6">
      <c r="A31" s="153" t="s">
        <v>318</v>
      </c>
      <c r="B31" s="153"/>
      <c r="C31" s="153"/>
      <c r="D31" s="153"/>
      <c r="E31" s="71"/>
      <c r="F31" s="71"/>
    </row>
  </sheetData>
  <sheetProtection password="CC3D" sheet="1" objects="1" scenarios="1"/>
  <mergeCells count="30">
    <mergeCell ref="A29:D29"/>
    <mergeCell ref="A30:D30"/>
    <mergeCell ref="A31:D31"/>
    <mergeCell ref="E24:F24"/>
    <mergeCell ref="A25:D25"/>
    <mergeCell ref="E25:F25"/>
    <mergeCell ref="A27:D27"/>
    <mergeCell ref="A28:D28"/>
    <mergeCell ref="A26:D26"/>
    <mergeCell ref="A18:A19"/>
    <mergeCell ref="A20:A21"/>
    <mergeCell ref="B22:C22"/>
    <mergeCell ref="B24:C24"/>
    <mergeCell ref="A4:B4"/>
    <mergeCell ref="C4:E4"/>
    <mergeCell ref="A5:B5"/>
    <mergeCell ref="C5:D5"/>
    <mergeCell ref="A6:A7"/>
    <mergeCell ref="B6:B7"/>
    <mergeCell ref="A8:A9"/>
    <mergeCell ref="A10:A11"/>
    <mergeCell ref="A12:A13"/>
    <mergeCell ref="A14:A15"/>
    <mergeCell ref="A16:A17"/>
    <mergeCell ref="A1:B1"/>
    <mergeCell ref="C1:E1"/>
    <mergeCell ref="A2:B2"/>
    <mergeCell ref="C2:E2"/>
    <mergeCell ref="A3:B3"/>
    <mergeCell ref="C3:E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32" r:id="rId4" name="Button 4">
              <controlPr defaultSize="0" print="0" autoFill="0" autoPict="0" macro="[0]!COUNT_Button1_Click">
                <anchor moveWithCells="1" sizeWithCells="1">
                  <from>
                    <xdr:col>9</xdr:col>
                    <xdr:colOff>205740</xdr:colOff>
                    <xdr:row>6</xdr:row>
                    <xdr:rowOff>7620</xdr:rowOff>
                  </from>
                  <to>
                    <xdr:col>13</xdr:col>
                    <xdr:colOff>426720</xdr:colOff>
                    <xdr:row>7</xdr:row>
                    <xdr:rowOff>289560</xdr:rowOff>
                  </to>
                </anchor>
              </controlPr>
            </control>
          </mc:Choice>
        </mc:AlternateContent>
        <mc:AlternateContent xmlns:mc="http://schemas.openxmlformats.org/markup-compatibility/2006">
          <mc:Choice Requires="x14">
            <control shapeId="48133" r:id="rId5" name="Button 5">
              <controlPr defaultSize="0" print="0" autoFill="0" autoPict="0" macro="[0]!SCHEDULE86_Button2_Click">
                <anchor moveWithCells="1" sizeWithCells="1">
                  <from>
                    <xdr:col>9</xdr:col>
                    <xdr:colOff>205740</xdr:colOff>
                    <xdr:row>3</xdr:row>
                    <xdr:rowOff>15240</xdr:rowOff>
                  </from>
                  <to>
                    <xdr:col>13</xdr:col>
                    <xdr:colOff>403860</xdr:colOff>
                    <xdr:row>5</xdr:row>
                    <xdr:rowOff>7620</xdr:rowOff>
                  </to>
                </anchor>
              </controlPr>
            </control>
          </mc:Choice>
        </mc:AlternateContent>
        <mc:AlternateContent xmlns:mc="http://schemas.openxmlformats.org/markup-compatibility/2006">
          <mc:Choice Requires="x14">
            <control shapeId="48134" r:id="rId6" name="Button 6">
              <controlPr defaultSize="0" print="0" autoFill="0" autoPict="0" macro="[0]!Button5_Click">
                <anchor moveWithCells="1" sizeWithCells="1">
                  <from>
                    <xdr:col>9</xdr:col>
                    <xdr:colOff>205740</xdr:colOff>
                    <xdr:row>7</xdr:row>
                    <xdr:rowOff>464820</xdr:rowOff>
                  </from>
                  <to>
                    <xdr:col>13</xdr:col>
                    <xdr:colOff>449580</xdr:colOff>
                    <xdr:row>9</xdr:row>
                    <xdr:rowOff>53340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H29"/>
  <sheetViews>
    <sheetView showGridLines="0" view="pageBreakPreview" zoomScale="73" zoomScaleSheetLayoutView="40" workbookViewId="0">
      <selection activeCell="C8" sqref="C8:F19"/>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16384" width="8.88671875" style="42"/>
  </cols>
  <sheetData>
    <row r="1" spans="1:8" ht="42.6" customHeight="1">
      <c r="A1" s="124" t="s">
        <v>281</v>
      </c>
      <c r="B1" s="125"/>
      <c r="C1" s="157" t="s">
        <v>282</v>
      </c>
      <c r="D1" s="158"/>
      <c r="E1" s="158"/>
      <c r="F1" s="74"/>
    </row>
    <row r="2" spans="1:8" ht="18" customHeight="1">
      <c r="A2" s="124" t="s">
        <v>283</v>
      </c>
      <c r="B2" s="125"/>
      <c r="C2" s="133" t="s">
        <v>284</v>
      </c>
      <c r="D2" s="159"/>
      <c r="E2" s="159"/>
      <c r="F2" s="75"/>
    </row>
    <row r="3" spans="1:8" ht="18" customHeight="1">
      <c r="A3" s="124" t="s">
        <v>285</v>
      </c>
      <c r="B3" s="125"/>
      <c r="C3" s="133" t="s">
        <v>320</v>
      </c>
      <c r="D3" s="159"/>
      <c r="E3" s="159"/>
      <c r="F3" s="76"/>
    </row>
    <row r="4" spans="1:8" ht="23.4">
      <c r="A4" s="124" t="s">
        <v>287</v>
      </c>
      <c r="B4" s="125"/>
      <c r="C4" s="134" t="s">
        <v>319</v>
      </c>
      <c r="D4" s="135"/>
      <c r="E4" s="135"/>
      <c r="F4" s="78" t="s">
        <v>289</v>
      </c>
      <c r="G4" s="57" t="s">
        <v>321</v>
      </c>
      <c r="H4" s="79" t="str">
        <f>IF(WORK_PLACE2!$K$6=1,"T1",IF(WORK_PLACE2!$K$6=2,"T2","T3"))</f>
        <v>T3</v>
      </c>
    </row>
    <row r="5" spans="1:8" ht="24.6" customHeight="1">
      <c r="A5" s="137" t="s">
        <v>290</v>
      </c>
      <c r="B5" s="138"/>
      <c r="C5" s="139" t="s">
        <v>291</v>
      </c>
      <c r="D5" s="139"/>
      <c r="E5" s="80" t="s">
        <v>292</v>
      </c>
      <c r="F5" s="80" t="s">
        <v>293</v>
      </c>
      <c r="G5" s="57" t="s">
        <v>322</v>
      </c>
      <c r="H5" s="73">
        <f>WORK_PLACE2!$F$51</f>
        <v>0</v>
      </c>
    </row>
    <row r="6" spans="1:8" ht="15">
      <c r="A6" s="121" t="s">
        <v>294</v>
      </c>
      <c r="B6" s="121" t="s">
        <v>295</v>
      </c>
      <c r="C6" s="59" t="s">
        <v>331</v>
      </c>
      <c r="D6" s="59" t="s">
        <v>332</v>
      </c>
      <c r="E6" s="59" t="s">
        <v>333</v>
      </c>
      <c r="F6" s="59" t="s">
        <v>334</v>
      </c>
    </row>
    <row r="7" spans="1:8" ht="15">
      <c r="A7" s="122"/>
      <c r="B7" s="122"/>
      <c r="C7" s="61" t="s">
        <v>352</v>
      </c>
      <c r="D7" s="61" t="s">
        <v>353</v>
      </c>
      <c r="E7" s="61" t="s">
        <v>297</v>
      </c>
      <c r="F7" s="61" t="s">
        <v>298</v>
      </c>
    </row>
    <row r="8" spans="1:8" ht="57.6" customHeight="1">
      <c r="A8" s="143">
        <f>WORK_PLACE!I8</f>
        <v>45673</v>
      </c>
      <c r="B8" s="65">
        <v>1</v>
      </c>
      <c r="C8" s="63"/>
      <c r="D8" s="63"/>
      <c r="E8" s="63"/>
      <c r="F8" s="63"/>
    </row>
    <row r="9" spans="1:8" ht="15">
      <c r="A9" s="144"/>
      <c r="B9" s="65"/>
      <c r="C9" s="63"/>
      <c r="D9" s="63"/>
      <c r="E9" s="63"/>
      <c r="F9" s="63"/>
    </row>
    <row r="10" spans="1:8" ht="15">
      <c r="A10" s="145">
        <f>A8+1</f>
        <v>45674</v>
      </c>
      <c r="B10" s="65">
        <v>2</v>
      </c>
      <c r="C10" s="63"/>
      <c r="D10" s="63"/>
      <c r="E10" s="63"/>
      <c r="F10" s="63"/>
    </row>
    <row r="11" spans="1:8" ht="15">
      <c r="A11" s="144"/>
      <c r="B11" s="65"/>
      <c r="C11" s="63"/>
      <c r="D11" s="63"/>
      <c r="E11" s="63"/>
      <c r="F11" s="63"/>
    </row>
    <row r="12" spans="1:8" ht="105" customHeight="1">
      <c r="A12" s="145">
        <f>A8+2</f>
        <v>45675</v>
      </c>
      <c r="B12" s="65">
        <v>3</v>
      </c>
      <c r="C12" s="63"/>
      <c r="D12" s="63"/>
      <c r="E12" s="63"/>
      <c r="F12" s="63"/>
    </row>
    <row r="13" spans="1:8" ht="15">
      <c r="A13" s="122"/>
      <c r="B13" s="65"/>
      <c r="C13" s="63"/>
      <c r="D13" s="63"/>
      <c r="E13" s="63"/>
      <c r="F13" s="63"/>
    </row>
    <row r="14" spans="1:8" ht="15">
      <c r="A14" s="145">
        <f>A8+3</f>
        <v>45676</v>
      </c>
      <c r="B14" s="65">
        <v>4</v>
      </c>
      <c r="C14" s="63"/>
      <c r="D14" s="63"/>
      <c r="E14" s="63"/>
      <c r="F14" s="63"/>
    </row>
    <row r="15" spans="1:8" ht="15">
      <c r="A15" s="144"/>
      <c r="B15" s="65"/>
      <c r="C15" s="63"/>
      <c r="D15" s="63"/>
      <c r="E15" s="63"/>
      <c r="F15" s="63"/>
    </row>
    <row r="16" spans="1:8" ht="15">
      <c r="A16" s="145">
        <f t="shared" ref="A16" si="0">A10+3</f>
        <v>45677</v>
      </c>
      <c r="B16" s="65">
        <v>5</v>
      </c>
      <c r="C16" s="63"/>
      <c r="D16" s="63"/>
      <c r="E16" s="63"/>
      <c r="F16" s="63"/>
    </row>
    <row r="17" spans="1:6" ht="15">
      <c r="A17" s="144"/>
      <c r="B17" s="65"/>
      <c r="C17" s="63"/>
      <c r="D17" s="63"/>
      <c r="E17" s="63"/>
      <c r="F17" s="63"/>
    </row>
    <row r="18" spans="1:6" ht="15">
      <c r="A18" s="145">
        <f t="shared" ref="A18" si="1">A12+3</f>
        <v>45678</v>
      </c>
      <c r="B18" s="65">
        <v>6</v>
      </c>
      <c r="C18" s="63"/>
      <c r="D18" s="63"/>
      <c r="E18" s="63"/>
      <c r="F18" s="63"/>
    </row>
    <row r="19" spans="1:6" ht="15">
      <c r="A19" s="144"/>
      <c r="B19" s="65"/>
      <c r="C19" s="63"/>
      <c r="D19" s="63"/>
      <c r="E19" s="63"/>
      <c r="F19" s="63"/>
    </row>
    <row r="20" spans="1:6" ht="19.95" customHeight="1">
      <c r="A20" s="66" t="s">
        <v>303</v>
      </c>
      <c r="B20" s="146" t="s">
        <v>304</v>
      </c>
      <c r="C20" s="147"/>
      <c r="D20" s="63" t="s">
        <v>305</v>
      </c>
      <c r="E20" s="63" t="s">
        <v>306</v>
      </c>
      <c r="F20" s="63" t="s">
        <v>307</v>
      </c>
    </row>
    <row r="21" spans="1:6" ht="15">
      <c r="A21" s="67"/>
      <c r="B21" s="68"/>
      <c r="C21" s="68"/>
      <c r="D21" s="69"/>
      <c r="E21" s="69"/>
      <c r="F21" s="69"/>
    </row>
    <row r="22" spans="1:6" ht="15.6">
      <c r="A22" s="71"/>
      <c r="B22" s="151" t="s">
        <v>309</v>
      </c>
      <c r="C22" s="152"/>
      <c r="D22" s="71"/>
      <c r="E22" s="151" t="s">
        <v>310</v>
      </c>
      <c r="F22" s="152"/>
    </row>
    <row r="23" spans="1:6" ht="15.6">
      <c r="A23" s="153" t="s">
        <v>312</v>
      </c>
      <c r="B23" s="153"/>
      <c r="C23" s="153"/>
      <c r="D23" s="153"/>
      <c r="E23" s="165" t="s">
        <v>311</v>
      </c>
      <c r="F23" s="165"/>
    </row>
    <row r="24" spans="1:6" ht="15.6">
      <c r="A24" s="153" t="s">
        <v>313</v>
      </c>
      <c r="B24" s="153"/>
      <c r="C24" s="153"/>
      <c r="D24" s="153"/>
      <c r="E24" s="71"/>
      <c r="F24" s="71"/>
    </row>
    <row r="25" spans="1:6" ht="15.6">
      <c r="A25" s="153" t="s">
        <v>314</v>
      </c>
      <c r="B25" s="153"/>
      <c r="C25" s="153"/>
      <c r="D25" s="153"/>
      <c r="E25" s="71"/>
      <c r="F25" s="71"/>
    </row>
    <row r="26" spans="1:6" ht="15.6">
      <c r="A26" s="153" t="s">
        <v>315</v>
      </c>
      <c r="B26" s="153"/>
      <c r="C26" s="153"/>
      <c r="D26" s="153"/>
      <c r="E26" s="71"/>
      <c r="F26" s="71"/>
    </row>
    <row r="27" spans="1:6" ht="15.6">
      <c r="A27" s="153" t="s">
        <v>316</v>
      </c>
      <c r="B27" s="153"/>
      <c r="C27" s="153"/>
      <c r="D27" s="153"/>
      <c r="E27" s="71"/>
      <c r="F27" s="71"/>
    </row>
    <row r="28" spans="1:6" ht="15.6">
      <c r="A28" s="153" t="s">
        <v>317</v>
      </c>
      <c r="B28" s="153"/>
      <c r="C28" s="153"/>
      <c r="D28" s="153"/>
      <c r="E28" s="71"/>
      <c r="F28" s="71"/>
    </row>
    <row r="29" spans="1:6" ht="15.6">
      <c r="A29" s="153" t="s">
        <v>318</v>
      </c>
      <c r="B29" s="153"/>
      <c r="C29" s="153"/>
      <c r="D29" s="153"/>
      <c r="E29" s="71"/>
      <c r="F29" s="71"/>
    </row>
  </sheetData>
  <sheetProtection password="CC3D" sheet="1" objects="1" scenarios="1"/>
  <mergeCells count="29">
    <mergeCell ref="A29:D29"/>
    <mergeCell ref="C1:E1"/>
    <mergeCell ref="C2:E2"/>
    <mergeCell ref="C3:E3"/>
    <mergeCell ref="C4:E4"/>
    <mergeCell ref="A6:A7"/>
    <mergeCell ref="B6:B7"/>
    <mergeCell ref="B20:C20"/>
    <mergeCell ref="B22:C22"/>
    <mergeCell ref="E22:F22"/>
    <mergeCell ref="A23:D23"/>
    <mergeCell ref="A24:D24"/>
    <mergeCell ref="A4:B4"/>
    <mergeCell ref="A5:B5"/>
    <mergeCell ref="A27:D27"/>
    <mergeCell ref="A28:D28"/>
    <mergeCell ref="C5:D5"/>
    <mergeCell ref="A1:B1"/>
    <mergeCell ref="E23:F23"/>
    <mergeCell ref="A25:D25"/>
    <mergeCell ref="A26:D26"/>
    <mergeCell ref="A2:B2"/>
    <mergeCell ref="A3:B3"/>
    <mergeCell ref="A8:A9"/>
    <mergeCell ref="A10:A11"/>
    <mergeCell ref="A12:A13"/>
    <mergeCell ref="A14:A15"/>
    <mergeCell ref="A16:A17"/>
    <mergeCell ref="A18:A19"/>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8" r:id="rId4" name="Button 4">
              <controlPr defaultSize="0" print="0" autoFill="0" autoPict="0" macro="[0]!COUNT_Button1_Click">
                <anchor moveWithCells="1" sizeWithCells="1">
                  <from>
                    <xdr:col>10</xdr:col>
                    <xdr:colOff>22860</xdr:colOff>
                    <xdr:row>6</xdr:row>
                    <xdr:rowOff>7620</xdr:rowOff>
                  </from>
                  <to>
                    <xdr:col>14</xdr:col>
                    <xdr:colOff>243840</xdr:colOff>
                    <xdr:row>7</xdr:row>
                    <xdr:rowOff>289560</xdr:rowOff>
                  </to>
                </anchor>
              </controlPr>
            </control>
          </mc:Choice>
        </mc:AlternateContent>
        <mc:AlternateContent xmlns:mc="http://schemas.openxmlformats.org/markup-compatibility/2006">
          <mc:Choice Requires="x14">
            <control shapeId="21509" r:id="rId5" name="Button 5">
              <controlPr defaultSize="0" print="0" autoFill="0" autoPict="0" macro="[0]!SCHEDULE86_Button2_Click">
                <anchor moveWithCells="1" sizeWithCells="1">
                  <from>
                    <xdr:col>10</xdr:col>
                    <xdr:colOff>22860</xdr:colOff>
                    <xdr:row>3</xdr:row>
                    <xdr:rowOff>15240</xdr:rowOff>
                  </from>
                  <to>
                    <xdr:col>14</xdr:col>
                    <xdr:colOff>220980</xdr:colOff>
                    <xdr:row>5</xdr:row>
                    <xdr:rowOff>7620</xdr:rowOff>
                  </to>
                </anchor>
              </controlPr>
            </control>
          </mc:Choice>
        </mc:AlternateContent>
        <mc:AlternateContent xmlns:mc="http://schemas.openxmlformats.org/markup-compatibility/2006">
          <mc:Choice Requires="x14">
            <control shapeId="21510" r:id="rId6" name="Button 6">
              <controlPr defaultSize="0" print="0" autoFill="0" autoPict="0" macro="[0]!Button5_Click">
                <anchor moveWithCells="1" sizeWithCells="1">
                  <from>
                    <xdr:col>10</xdr:col>
                    <xdr:colOff>22860</xdr:colOff>
                    <xdr:row>7</xdr:row>
                    <xdr:rowOff>464820</xdr:rowOff>
                  </from>
                  <to>
                    <xdr:col>14</xdr:col>
                    <xdr:colOff>266700</xdr:colOff>
                    <xdr:row>9</xdr:row>
                    <xdr:rowOff>53340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H27"/>
  <sheetViews>
    <sheetView showGridLines="0" view="pageBreakPreview" zoomScaleSheetLayoutView="100" workbookViewId="0">
      <selection activeCell="C8" sqref="C8:F17"/>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7" width="8.88671875" style="42"/>
    <col min="8" max="8" width="4.109375" style="42" customWidth="1"/>
    <col min="9" max="16384" width="8.88671875" style="42"/>
  </cols>
  <sheetData>
    <row r="1" spans="1:8" ht="42.6" customHeight="1">
      <c r="A1" s="124" t="s">
        <v>281</v>
      </c>
      <c r="B1" s="125"/>
      <c r="C1" s="157" t="s">
        <v>282</v>
      </c>
      <c r="D1" s="158"/>
      <c r="E1" s="158"/>
      <c r="F1" s="74"/>
    </row>
    <row r="2" spans="1:8" ht="18" customHeight="1">
      <c r="A2" s="124" t="s">
        <v>283</v>
      </c>
      <c r="B2" s="125"/>
      <c r="C2" s="133" t="s">
        <v>284</v>
      </c>
      <c r="D2" s="159"/>
      <c r="E2" s="159"/>
      <c r="F2" s="75"/>
    </row>
    <row r="3" spans="1:8" ht="18" customHeight="1">
      <c r="A3" s="124" t="s">
        <v>285</v>
      </c>
      <c r="B3" s="125"/>
      <c r="C3" s="133" t="s">
        <v>320</v>
      </c>
      <c r="D3" s="159"/>
      <c r="E3" s="159"/>
      <c r="F3" s="76"/>
    </row>
    <row r="4" spans="1:8" ht="23.4">
      <c r="A4" s="124" t="s">
        <v>287</v>
      </c>
      <c r="B4" s="125"/>
      <c r="C4" s="134" t="s">
        <v>319</v>
      </c>
      <c r="D4" s="135"/>
      <c r="E4" s="135"/>
      <c r="F4" s="78" t="s">
        <v>289</v>
      </c>
      <c r="G4" s="57" t="s">
        <v>321</v>
      </c>
      <c r="H4" s="79" t="str">
        <f>IF(WORK_PLACE2!$K$6=1,"T1",IF(WORK_PLACE2!$K$6=2,"T2","T3"))</f>
        <v>T3</v>
      </c>
    </row>
    <row r="5" spans="1:8" ht="24.6" customHeight="1">
      <c r="A5" s="137" t="s">
        <v>290</v>
      </c>
      <c r="B5" s="138"/>
      <c r="C5" s="139" t="s">
        <v>291</v>
      </c>
      <c r="D5" s="139"/>
      <c r="E5" s="80" t="s">
        <v>292</v>
      </c>
      <c r="F5" s="80" t="s">
        <v>293</v>
      </c>
      <c r="G5" s="57" t="s">
        <v>322</v>
      </c>
      <c r="H5" s="73">
        <f>WORK_PLACE2!$F$51</f>
        <v>0</v>
      </c>
    </row>
    <row r="6" spans="1:8" ht="15">
      <c r="A6" s="121" t="s">
        <v>294</v>
      </c>
      <c r="B6" s="121" t="s">
        <v>295</v>
      </c>
      <c r="C6" s="59" t="s">
        <v>331</v>
      </c>
      <c r="D6" s="59" t="s">
        <v>332</v>
      </c>
      <c r="E6" s="59" t="s">
        <v>333</v>
      </c>
      <c r="F6" s="59" t="s">
        <v>334</v>
      </c>
    </row>
    <row r="7" spans="1:8" ht="15">
      <c r="A7" s="122"/>
      <c r="B7" s="122"/>
      <c r="C7" s="61" t="s">
        <v>352</v>
      </c>
      <c r="D7" s="61" t="s">
        <v>353</v>
      </c>
      <c r="E7" s="61" t="s">
        <v>297</v>
      </c>
      <c r="F7" s="61" t="s">
        <v>298</v>
      </c>
    </row>
    <row r="8" spans="1:8" ht="45" customHeight="1">
      <c r="A8" s="143">
        <f>WORK_PLACE!I8</f>
        <v>45673</v>
      </c>
      <c r="B8" s="65">
        <v>1</v>
      </c>
      <c r="C8" s="63"/>
      <c r="D8" s="63"/>
      <c r="E8" s="63"/>
      <c r="F8" s="63"/>
    </row>
    <row r="9" spans="1:8" ht="15">
      <c r="A9" s="144"/>
      <c r="B9" s="65"/>
      <c r="C9" s="63"/>
      <c r="D9" s="63"/>
      <c r="E9" s="63"/>
      <c r="F9" s="63"/>
    </row>
    <row r="10" spans="1:8" ht="15">
      <c r="A10" s="145">
        <f>A8+1</f>
        <v>45674</v>
      </c>
      <c r="B10" s="65">
        <v>2</v>
      </c>
      <c r="C10" s="63"/>
      <c r="D10" s="63"/>
      <c r="E10" s="63"/>
      <c r="F10" s="63"/>
    </row>
    <row r="11" spans="1:8" ht="15">
      <c r="A11" s="144"/>
      <c r="B11" s="65"/>
      <c r="C11" s="63"/>
      <c r="D11" s="63"/>
      <c r="E11" s="63"/>
      <c r="F11" s="63"/>
    </row>
    <row r="12" spans="1:8" ht="105" customHeight="1">
      <c r="A12" s="145">
        <f>A8+2</f>
        <v>45675</v>
      </c>
      <c r="B12" s="65">
        <v>3</v>
      </c>
      <c r="C12" s="63"/>
      <c r="D12" s="63"/>
      <c r="E12" s="63"/>
      <c r="F12" s="63"/>
    </row>
    <row r="13" spans="1:8" ht="15">
      <c r="A13" s="122"/>
      <c r="B13" s="65"/>
      <c r="C13" s="63"/>
      <c r="D13" s="63"/>
      <c r="E13" s="63"/>
      <c r="F13" s="63"/>
    </row>
    <row r="14" spans="1:8" ht="15">
      <c r="A14" s="145">
        <f>A8+3</f>
        <v>45676</v>
      </c>
      <c r="B14" s="65">
        <v>4</v>
      </c>
      <c r="C14" s="63"/>
      <c r="D14" s="63"/>
      <c r="E14" s="63"/>
      <c r="F14" s="63"/>
    </row>
    <row r="15" spans="1:8" ht="15">
      <c r="A15" s="144"/>
      <c r="B15" s="65"/>
      <c r="C15" s="63"/>
      <c r="D15" s="63"/>
      <c r="E15" s="63"/>
      <c r="F15" s="63"/>
    </row>
    <row r="16" spans="1:8" ht="15">
      <c r="A16" s="145">
        <f t="shared" ref="A16" si="0">A10+3</f>
        <v>45677</v>
      </c>
      <c r="B16" s="65">
        <v>5</v>
      </c>
      <c r="C16" s="63"/>
      <c r="D16" s="63"/>
      <c r="E16" s="63"/>
      <c r="F16" s="63"/>
    </row>
    <row r="17" spans="1:6" ht="15">
      <c r="A17" s="144"/>
      <c r="B17" s="65"/>
      <c r="C17" s="63"/>
      <c r="D17" s="63"/>
      <c r="E17" s="63"/>
      <c r="F17" s="63"/>
    </row>
    <row r="18" spans="1:6" ht="19.95" customHeight="1">
      <c r="A18" s="66" t="s">
        <v>303</v>
      </c>
      <c r="B18" s="146" t="s">
        <v>304</v>
      </c>
      <c r="C18" s="147"/>
      <c r="D18" s="63" t="s">
        <v>305</v>
      </c>
      <c r="E18" s="63" t="s">
        <v>306</v>
      </c>
      <c r="F18" s="63" t="s">
        <v>307</v>
      </c>
    </row>
    <row r="19" spans="1:6" ht="15">
      <c r="A19" s="67"/>
      <c r="B19" s="68"/>
      <c r="C19" s="68"/>
      <c r="D19" s="69"/>
      <c r="E19" s="69"/>
      <c r="F19" s="69"/>
    </row>
    <row r="20" spans="1:6" ht="15.6">
      <c r="A20" s="71"/>
      <c r="B20" s="151" t="s">
        <v>309</v>
      </c>
      <c r="C20" s="152"/>
      <c r="D20" s="71"/>
      <c r="E20" s="151" t="s">
        <v>310</v>
      </c>
      <c r="F20" s="152"/>
    </row>
    <row r="21" spans="1:6" ht="15.6">
      <c r="A21" s="153" t="s">
        <v>312</v>
      </c>
      <c r="B21" s="153"/>
      <c r="C21" s="153"/>
      <c r="D21" s="153"/>
      <c r="E21" s="165" t="s">
        <v>311</v>
      </c>
      <c r="F21" s="165"/>
    </row>
    <row r="22" spans="1:6" ht="15.6">
      <c r="A22" s="153" t="s">
        <v>313</v>
      </c>
      <c r="B22" s="153"/>
      <c r="C22" s="153"/>
      <c r="D22" s="153"/>
      <c r="E22" s="71"/>
      <c r="F22" s="71"/>
    </row>
    <row r="23" spans="1:6" ht="15.6">
      <c r="A23" s="153" t="s">
        <v>314</v>
      </c>
      <c r="B23" s="153"/>
      <c r="C23" s="153"/>
      <c r="D23" s="153"/>
      <c r="E23" s="71"/>
      <c r="F23" s="71"/>
    </row>
    <row r="24" spans="1:6" ht="15.6">
      <c r="A24" s="153" t="s">
        <v>315</v>
      </c>
      <c r="B24" s="153"/>
      <c r="C24" s="153"/>
      <c r="D24" s="153"/>
      <c r="E24" s="71"/>
      <c r="F24" s="71"/>
    </row>
    <row r="25" spans="1:6" ht="15.6">
      <c r="A25" s="153" t="s">
        <v>316</v>
      </c>
      <c r="B25" s="153"/>
      <c r="C25" s="153"/>
      <c r="D25" s="153"/>
      <c r="E25" s="71"/>
      <c r="F25" s="71"/>
    </row>
    <row r="26" spans="1:6" ht="15.6">
      <c r="A26" s="153" t="s">
        <v>317</v>
      </c>
      <c r="B26" s="153"/>
      <c r="C26" s="153"/>
      <c r="D26" s="153"/>
      <c r="E26" s="71"/>
      <c r="F26" s="71"/>
    </row>
    <row r="27" spans="1:6" ht="15.6">
      <c r="A27" s="153" t="s">
        <v>318</v>
      </c>
      <c r="B27" s="153"/>
      <c r="C27" s="153"/>
      <c r="D27" s="153"/>
      <c r="E27" s="71"/>
      <c r="F27" s="71"/>
    </row>
  </sheetData>
  <sheetProtection password="CC3D" sheet="1" objects="1" scenarios="1"/>
  <mergeCells count="28">
    <mergeCell ref="A8:A9"/>
    <mergeCell ref="A10:A11"/>
    <mergeCell ref="A12:A13"/>
    <mergeCell ref="A14:A15"/>
    <mergeCell ref="A16:A17"/>
    <mergeCell ref="A1:B1"/>
    <mergeCell ref="C1:E1"/>
    <mergeCell ref="A2:B2"/>
    <mergeCell ref="C2:E2"/>
    <mergeCell ref="A3:B3"/>
    <mergeCell ref="C3:E3"/>
    <mergeCell ref="A4:B4"/>
    <mergeCell ref="C4:E4"/>
    <mergeCell ref="A5:B5"/>
    <mergeCell ref="C5:D5"/>
    <mergeCell ref="A6:A7"/>
    <mergeCell ref="B6:B7"/>
    <mergeCell ref="B18:C18"/>
    <mergeCell ref="B20:C20"/>
    <mergeCell ref="E20:F20"/>
    <mergeCell ref="A21:D21"/>
    <mergeCell ref="A22:D22"/>
    <mergeCell ref="A24:D24"/>
    <mergeCell ref="A25:D25"/>
    <mergeCell ref="A26:D26"/>
    <mergeCell ref="A27:D27"/>
    <mergeCell ref="E21:F21"/>
    <mergeCell ref="A23:D2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Button 4">
              <controlPr defaultSize="0" print="0" autoFill="0" autoPict="0" macro="[0]!COUNT_Button1_Click">
                <anchor moveWithCells="1" sizeWithCells="1">
                  <from>
                    <xdr:col>9</xdr:col>
                    <xdr:colOff>411480</xdr:colOff>
                    <xdr:row>6</xdr:row>
                    <xdr:rowOff>7620</xdr:rowOff>
                  </from>
                  <to>
                    <xdr:col>14</xdr:col>
                    <xdr:colOff>91440</xdr:colOff>
                    <xdr:row>7</xdr:row>
                    <xdr:rowOff>289560</xdr:rowOff>
                  </to>
                </anchor>
              </controlPr>
            </control>
          </mc:Choice>
        </mc:AlternateContent>
        <mc:AlternateContent xmlns:mc="http://schemas.openxmlformats.org/markup-compatibility/2006">
          <mc:Choice Requires="x14">
            <control shapeId="27653" r:id="rId5" name="Button 5">
              <controlPr defaultSize="0" print="0" autoFill="0" autoPict="0" macro="[0]!SCHEDULE86_Button2_Click">
                <anchor moveWithCells="1" sizeWithCells="1">
                  <from>
                    <xdr:col>9</xdr:col>
                    <xdr:colOff>411480</xdr:colOff>
                    <xdr:row>3</xdr:row>
                    <xdr:rowOff>15240</xdr:rowOff>
                  </from>
                  <to>
                    <xdr:col>14</xdr:col>
                    <xdr:colOff>68580</xdr:colOff>
                    <xdr:row>5</xdr:row>
                    <xdr:rowOff>7620</xdr:rowOff>
                  </to>
                </anchor>
              </controlPr>
            </control>
          </mc:Choice>
        </mc:AlternateContent>
        <mc:AlternateContent xmlns:mc="http://schemas.openxmlformats.org/markup-compatibility/2006">
          <mc:Choice Requires="x14">
            <control shapeId="27654" r:id="rId6" name="Button 6">
              <controlPr defaultSize="0" print="0" autoFill="0" autoPict="0" macro="[0]!Button5_Click">
                <anchor moveWithCells="1" sizeWithCells="1">
                  <from>
                    <xdr:col>9</xdr:col>
                    <xdr:colOff>411480</xdr:colOff>
                    <xdr:row>8</xdr:row>
                    <xdr:rowOff>7620</xdr:rowOff>
                  </from>
                  <to>
                    <xdr:col>14</xdr:col>
                    <xdr:colOff>114300</xdr:colOff>
                    <xdr:row>9</xdr:row>
                    <xdr:rowOff>175260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dimension ref="A1:H25"/>
  <sheetViews>
    <sheetView showGridLines="0" view="pageBreakPreview" zoomScale="80" zoomScaleSheetLayoutView="80" workbookViewId="0">
      <selection activeCell="H5" sqref="H5"/>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7" width="8.88671875" style="42"/>
    <col min="8" max="8" width="4.109375" style="42" customWidth="1"/>
    <col min="9" max="16384" width="8.88671875" style="42"/>
  </cols>
  <sheetData>
    <row r="1" spans="1:8" ht="42.6" customHeight="1">
      <c r="A1" s="124" t="s">
        <v>281</v>
      </c>
      <c r="B1" s="125"/>
      <c r="C1" s="157" t="s">
        <v>282</v>
      </c>
      <c r="D1" s="158"/>
      <c r="E1" s="158"/>
      <c r="F1" s="74"/>
    </row>
    <row r="2" spans="1:8" ht="18" customHeight="1">
      <c r="A2" s="124" t="s">
        <v>283</v>
      </c>
      <c r="B2" s="125"/>
      <c r="C2" s="133" t="s">
        <v>284</v>
      </c>
      <c r="D2" s="159"/>
      <c r="E2" s="159"/>
      <c r="F2" s="75"/>
    </row>
    <row r="3" spans="1:8" ht="18" customHeight="1">
      <c r="A3" s="124" t="s">
        <v>285</v>
      </c>
      <c r="B3" s="125"/>
      <c r="C3" s="133" t="s">
        <v>320</v>
      </c>
      <c r="D3" s="159"/>
      <c r="E3" s="159"/>
      <c r="F3" s="76"/>
    </row>
    <row r="4" spans="1:8" ht="23.4">
      <c r="A4" s="124" t="s">
        <v>287</v>
      </c>
      <c r="B4" s="125"/>
      <c r="C4" s="134" t="s">
        <v>319</v>
      </c>
      <c r="D4" s="135"/>
      <c r="E4" s="135"/>
      <c r="F4" s="78" t="s">
        <v>289</v>
      </c>
      <c r="G4" s="57" t="s">
        <v>321</v>
      </c>
      <c r="H4" s="79" t="str">
        <f>IF(WORK_PLACE2!$K$6=1,"T1",IF(WORK_PLACE2!$K$6=2,"T2","T3"))</f>
        <v>T3</v>
      </c>
    </row>
    <row r="5" spans="1:8" ht="24.6" customHeight="1">
      <c r="A5" s="137" t="s">
        <v>290</v>
      </c>
      <c r="B5" s="138"/>
      <c r="C5" s="139" t="s">
        <v>291</v>
      </c>
      <c r="D5" s="139"/>
      <c r="E5" s="80" t="s">
        <v>292</v>
      </c>
      <c r="F5" s="80" t="s">
        <v>293</v>
      </c>
      <c r="G5" s="57" t="s">
        <v>322</v>
      </c>
      <c r="H5" s="73">
        <f>WORK_PLACE2!$F$51</f>
        <v>0</v>
      </c>
    </row>
    <row r="6" spans="1:8" ht="15">
      <c r="A6" s="121" t="s">
        <v>294</v>
      </c>
      <c r="B6" s="121" t="s">
        <v>295</v>
      </c>
      <c r="C6" s="59" t="s">
        <v>331</v>
      </c>
      <c r="D6" s="59" t="s">
        <v>332</v>
      </c>
      <c r="E6" s="59" t="s">
        <v>333</v>
      </c>
      <c r="F6" s="59" t="s">
        <v>334</v>
      </c>
    </row>
    <row r="7" spans="1:8" ht="15">
      <c r="A7" s="122"/>
      <c r="B7" s="122"/>
      <c r="C7" s="61" t="s">
        <v>352</v>
      </c>
      <c r="D7" s="61" t="s">
        <v>353</v>
      </c>
      <c r="E7" s="61" t="s">
        <v>297</v>
      </c>
      <c r="F7" s="61" t="s">
        <v>298</v>
      </c>
    </row>
    <row r="8" spans="1:8" ht="45" customHeight="1">
      <c r="A8" s="143">
        <f>WORK_PLACE!I8</f>
        <v>45673</v>
      </c>
      <c r="B8" s="65">
        <v>1</v>
      </c>
      <c r="C8" s="63"/>
      <c r="D8" s="63"/>
      <c r="E8" s="63"/>
      <c r="F8" s="63"/>
    </row>
    <row r="9" spans="1:8" ht="15">
      <c r="A9" s="144"/>
      <c r="B9" s="65"/>
      <c r="C9" s="63"/>
      <c r="D9" s="63"/>
      <c r="E9" s="63"/>
      <c r="F9" s="63"/>
    </row>
    <row r="10" spans="1:8" ht="15">
      <c r="A10" s="145">
        <f>A8+1</f>
        <v>45674</v>
      </c>
      <c r="B10" s="65">
        <v>2</v>
      </c>
      <c r="C10" s="63"/>
      <c r="D10" s="63"/>
      <c r="E10" s="63"/>
      <c r="F10" s="63"/>
    </row>
    <row r="11" spans="1:8" ht="15">
      <c r="A11" s="144"/>
      <c r="B11" s="65"/>
      <c r="C11" s="63"/>
      <c r="D11" s="63"/>
      <c r="E11" s="63"/>
      <c r="F11" s="63"/>
    </row>
    <row r="12" spans="1:8" ht="105" customHeight="1">
      <c r="A12" s="145">
        <f>A8+2</f>
        <v>45675</v>
      </c>
      <c r="B12" s="65">
        <v>3</v>
      </c>
      <c r="C12" s="63"/>
      <c r="D12" s="63"/>
      <c r="E12" s="63"/>
      <c r="F12" s="63"/>
    </row>
    <row r="13" spans="1:8" ht="15">
      <c r="A13" s="122"/>
      <c r="B13" s="65"/>
      <c r="C13" s="63"/>
      <c r="D13" s="63"/>
      <c r="E13" s="63"/>
      <c r="F13" s="63"/>
    </row>
    <row r="14" spans="1:8" ht="15">
      <c r="A14" s="145">
        <f>A8+3</f>
        <v>45676</v>
      </c>
      <c r="B14" s="65">
        <v>4</v>
      </c>
      <c r="C14" s="63"/>
      <c r="D14" s="63"/>
      <c r="E14" s="63"/>
      <c r="F14" s="63"/>
    </row>
    <row r="15" spans="1:8" ht="15">
      <c r="A15" s="144"/>
      <c r="B15" s="65"/>
      <c r="C15" s="63"/>
      <c r="D15" s="63"/>
      <c r="E15" s="63"/>
      <c r="F15" s="63"/>
    </row>
    <row r="16" spans="1:8" ht="19.95" customHeight="1">
      <c r="A16" s="66" t="s">
        <v>303</v>
      </c>
      <c r="B16" s="146" t="s">
        <v>304</v>
      </c>
      <c r="C16" s="147"/>
      <c r="D16" s="63" t="s">
        <v>305</v>
      </c>
      <c r="E16" s="63" t="s">
        <v>306</v>
      </c>
      <c r="F16" s="63" t="s">
        <v>307</v>
      </c>
    </row>
    <row r="17" spans="1:6" ht="15">
      <c r="A17" s="67"/>
      <c r="B17" s="68"/>
      <c r="C17" s="68"/>
      <c r="D17" s="69"/>
      <c r="E17" s="69"/>
      <c r="F17" s="69"/>
    </row>
    <row r="18" spans="1:6" ht="15.6">
      <c r="A18" s="71"/>
      <c r="B18" s="151" t="s">
        <v>309</v>
      </c>
      <c r="C18" s="152"/>
      <c r="D18" s="71"/>
      <c r="E18" s="151" t="s">
        <v>310</v>
      </c>
      <c r="F18" s="152"/>
    </row>
    <row r="19" spans="1:6" ht="15.6">
      <c r="A19" s="153" t="s">
        <v>312</v>
      </c>
      <c r="B19" s="153"/>
      <c r="C19" s="153"/>
      <c r="D19" s="153"/>
      <c r="E19" s="165" t="s">
        <v>311</v>
      </c>
      <c r="F19" s="165"/>
    </row>
    <row r="20" spans="1:6" ht="15.6">
      <c r="A20" s="153" t="s">
        <v>313</v>
      </c>
      <c r="B20" s="153"/>
      <c r="C20" s="153"/>
      <c r="D20" s="153"/>
      <c r="E20" s="71"/>
      <c r="F20" s="71"/>
    </row>
    <row r="21" spans="1:6" ht="15.6">
      <c r="A21" s="153" t="s">
        <v>314</v>
      </c>
      <c r="B21" s="153"/>
      <c r="C21" s="153"/>
      <c r="D21" s="153"/>
      <c r="E21" s="71"/>
      <c r="F21" s="71"/>
    </row>
    <row r="22" spans="1:6" ht="15.6">
      <c r="A22" s="153" t="s">
        <v>315</v>
      </c>
      <c r="B22" s="153"/>
      <c r="C22" s="153"/>
      <c r="D22" s="153"/>
      <c r="E22" s="71"/>
      <c r="F22" s="71"/>
    </row>
    <row r="23" spans="1:6" ht="15.6">
      <c r="A23" s="153" t="s">
        <v>316</v>
      </c>
      <c r="B23" s="153"/>
      <c r="C23" s="153"/>
      <c r="D23" s="153"/>
      <c r="E23" s="71"/>
      <c r="F23" s="71"/>
    </row>
    <row r="24" spans="1:6" ht="15.6">
      <c r="A24" s="153" t="s">
        <v>317</v>
      </c>
      <c r="B24" s="153"/>
      <c r="C24" s="153"/>
      <c r="D24" s="153"/>
      <c r="E24" s="71"/>
      <c r="F24" s="71"/>
    </row>
    <row r="25" spans="1:6" ht="15.6">
      <c r="A25" s="153" t="s">
        <v>318</v>
      </c>
      <c r="B25" s="153"/>
      <c r="C25" s="153"/>
      <c r="D25" s="153"/>
      <c r="E25" s="71"/>
      <c r="F25" s="71"/>
    </row>
  </sheetData>
  <sheetProtection password="CC3D" sheet="1" objects="1" scenarios="1"/>
  <mergeCells count="27">
    <mergeCell ref="A22:D22"/>
    <mergeCell ref="A23:D23"/>
    <mergeCell ref="A24:D24"/>
    <mergeCell ref="A25:D25"/>
    <mergeCell ref="B18:C18"/>
    <mergeCell ref="E18:F18"/>
    <mergeCell ref="A19:D19"/>
    <mergeCell ref="E19:F19"/>
    <mergeCell ref="A20:D20"/>
    <mergeCell ref="A21:D21"/>
    <mergeCell ref="A8:A9"/>
    <mergeCell ref="A10:A11"/>
    <mergeCell ref="A12:A13"/>
    <mergeCell ref="A14:A15"/>
    <mergeCell ref="B16:C16"/>
    <mergeCell ref="A4:B4"/>
    <mergeCell ref="C4:E4"/>
    <mergeCell ref="A5:B5"/>
    <mergeCell ref="C5:D5"/>
    <mergeCell ref="A6:A7"/>
    <mergeCell ref="B6:B7"/>
    <mergeCell ref="A1:B1"/>
    <mergeCell ref="C1:E1"/>
    <mergeCell ref="A2:B2"/>
    <mergeCell ref="C2:E2"/>
    <mergeCell ref="A3:B3"/>
    <mergeCell ref="C3:E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utton 4">
              <controlPr defaultSize="0" print="0" autoFill="0" autoPict="0" macro="[0]!COUNT_Button1_Click">
                <anchor moveWithCells="1" sizeWithCells="1">
                  <from>
                    <xdr:col>9</xdr:col>
                    <xdr:colOff>236220</xdr:colOff>
                    <xdr:row>6</xdr:row>
                    <xdr:rowOff>7620</xdr:rowOff>
                  </from>
                  <to>
                    <xdr:col>13</xdr:col>
                    <xdr:colOff>457200</xdr:colOff>
                    <xdr:row>7</xdr:row>
                    <xdr:rowOff>289560</xdr:rowOff>
                  </to>
                </anchor>
              </controlPr>
            </control>
          </mc:Choice>
        </mc:AlternateContent>
        <mc:AlternateContent xmlns:mc="http://schemas.openxmlformats.org/markup-compatibility/2006">
          <mc:Choice Requires="x14">
            <control shapeId="49157" r:id="rId5" name="Button 5">
              <controlPr defaultSize="0" print="0" autoFill="0" autoPict="0" macro="[0]!SCHEDULE86_Button2_Click">
                <anchor moveWithCells="1" sizeWithCells="1">
                  <from>
                    <xdr:col>9</xdr:col>
                    <xdr:colOff>236220</xdr:colOff>
                    <xdr:row>3</xdr:row>
                    <xdr:rowOff>15240</xdr:rowOff>
                  </from>
                  <to>
                    <xdr:col>13</xdr:col>
                    <xdr:colOff>434340</xdr:colOff>
                    <xdr:row>5</xdr:row>
                    <xdr:rowOff>7620</xdr:rowOff>
                  </to>
                </anchor>
              </controlPr>
            </control>
          </mc:Choice>
        </mc:AlternateContent>
        <mc:AlternateContent xmlns:mc="http://schemas.openxmlformats.org/markup-compatibility/2006">
          <mc:Choice Requires="x14">
            <control shapeId="49158" r:id="rId6" name="Button 6">
              <controlPr defaultSize="0" print="0" autoFill="0" autoPict="0" macro="[0]!Button5_Click">
                <anchor moveWithCells="1" sizeWithCells="1">
                  <from>
                    <xdr:col>9</xdr:col>
                    <xdr:colOff>236220</xdr:colOff>
                    <xdr:row>8</xdr:row>
                    <xdr:rowOff>7620</xdr:rowOff>
                  </from>
                  <to>
                    <xdr:col>13</xdr:col>
                    <xdr:colOff>480060</xdr:colOff>
                    <xdr:row>9</xdr:row>
                    <xdr:rowOff>175260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dimension ref="A1:H21"/>
  <sheetViews>
    <sheetView showGridLines="0" view="pageBreakPreview" zoomScale="70" zoomScaleSheetLayoutView="70" workbookViewId="0">
      <selection activeCell="C8" sqref="C8:F11"/>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7" width="8.88671875" style="42"/>
    <col min="8" max="8" width="4.109375" style="42" customWidth="1"/>
    <col min="9" max="16384" width="8.88671875" style="42"/>
  </cols>
  <sheetData>
    <row r="1" spans="1:8" ht="42.6" customHeight="1">
      <c r="A1" s="124" t="s">
        <v>281</v>
      </c>
      <c r="B1" s="125"/>
      <c r="C1" s="157" t="s">
        <v>282</v>
      </c>
      <c r="D1" s="158"/>
      <c r="E1" s="158"/>
      <c r="F1" s="74"/>
    </row>
    <row r="2" spans="1:8" ht="18" customHeight="1">
      <c r="A2" s="124" t="s">
        <v>283</v>
      </c>
      <c r="B2" s="125"/>
      <c r="C2" s="133" t="s">
        <v>284</v>
      </c>
      <c r="D2" s="159"/>
      <c r="E2" s="159"/>
      <c r="F2" s="75"/>
    </row>
    <row r="3" spans="1:8" ht="18" customHeight="1">
      <c r="A3" s="124" t="s">
        <v>285</v>
      </c>
      <c r="B3" s="125"/>
      <c r="C3" s="133" t="s">
        <v>320</v>
      </c>
      <c r="D3" s="159"/>
      <c r="E3" s="159"/>
      <c r="F3" s="76"/>
    </row>
    <row r="4" spans="1:8" ht="23.4">
      <c r="A4" s="124" t="s">
        <v>287</v>
      </c>
      <c r="B4" s="125"/>
      <c r="C4" s="134" t="s">
        <v>319</v>
      </c>
      <c r="D4" s="135"/>
      <c r="E4" s="135"/>
      <c r="F4" s="78" t="s">
        <v>289</v>
      </c>
      <c r="G4" s="57" t="s">
        <v>321</v>
      </c>
      <c r="H4" s="79" t="str">
        <f>IF(WORK_PLACE2!$K$6=1,"T1",IF(WORK_PLACE2!$K$6=2,"T2","T3"))</f>
        <v>T3</v>
      </c>
    </row>
    <row r="5" spans="1:8" ht="24.6" customHeight="1">
      <c r="A5" s="137" t="s">
        <v>290</v>
      </c>
      <c r="B5" s="138"/>
      <c r="C5" s="139" t="s">
        <v>291</v>
      </c>
      <c r="D5" s="139"/>
      <c r="E5" s="80" t="s">
        <v>292</v>
      </c>
      <c r="F5" s="80" t="s">
        <v>293</v>
      </c>
      <c r="G5" s="57" t="s">
        <v>322</v>
      </c>
      <c r="H5" s="73">
        <f>WORK_PLACE2!$F$51</f>
        <v>0</v>
      </c>
    </row>
    <row r="6" spans="1:8" ht="15">
      <c r="A6" s="121" t="s">
        <v>294</v>
      </c>
      <c r="B6" s="121" t="s">
        <v>295</v>
      </c>
      <c r="C6" s="59" t="s">
        <v>331</v>
      </c>
      <c r="D6" s="59" t="s">
        <v>332</v>
      </c>
      <c r="E6" s="59" t="s">
        <v>333</v>
      </c>
      <c r="F6" s="59" t="s">
        <v>334</v>
      </c>
    </row>
    <row r="7" spans="1:8" ht="15">
      <c r="A7" s="122"/>
      <c r="B7" s="122"/>
      <c r="C7" s="61" t="s">
        <v>352</v>
      </c>
      <c r="D7" s="61" t="s">
        <v>353</v>
      </c>
      <c r="E7" s="61" t="s">
        <v>297</v>
      </c>
      <c r="F7" s="61" t="s">
        <v>298</v>
      </c>
    </row>
    <row r="8" spans="1:8" ht="80.25" customHeight="1">
      <c r="A8" s="143">
        <f>WORK_PLACE!I8</f>
        <v>45673</v>
      </c>
      <c r="B8" s="65">
        <v>1</v>
      </c>
      <c r="C8" s="63"/>
      <c r="D8" s="63"/>
      <c r="E8" s="63"/>
      <c r="F8" s="63"/>
    </row>
    <row r="9" spans="1:8" ht="44.25" customHeight="1">
      <c r="A9" s="144"/>
      <c r="B9" s="65"/>
      <c r="C9" s="63"/>
      <c r="D9" s="63"/>
      <c r="E9" s="63"/>
      <c r="F9" s="63"/>
    </row>
    <row r="10" spans="1:8" ht="15">
      <c r="A10" s="145">
        <f>A8+1</f>
        <v>45674</v>
      </c>
      <c r="B10" s="65">
        <v>2</v>
      </c>
      <c r="C10" s="63"/>
      <c r="D10" s="63"/>
      <c r="E10" s="63"/>
      <c r="F10" s="63"/>
    </row>
    <row r="11" spans="1:8" ht="15">
      <c r="A11" s="144"/>
      <c r="B11" s="65"/>
      <c r="C11" s="63"/>
      <c r="D11" s="63"/>
      <c r="E11" s="63"/>
      <c r="F11" s="63"/>
    </row>
    <row r="12" spans="1:8" ht="19.95" customHeight="1">
      <c r="A12" s="66" t="s">
        <v>303</v>
      </c>
      <c r="B12" s="146" t="s">
        <v>304</v>
      </c>
      <c r="C12" s="147"/>
      <c r="D12" s="63" t="s">
        <v>305</v>
      </c>
      <c r="E12" s="63" t="s">
        <v>306</v>
      </c>
      <c r="F12" s="63" t="s">
        <v>307</v>
      </c>
    </row>
    <row r="13" spans="1:8" ht="15">
      <c r="A13" s="67"/>
      <c r="B13" s="68"/>
      <c r="C13" s="68"/>
      <c r="D13" s="69"/>
      <c r="E13" s="69"/>
      <c r="F13" s="69"/>
    </row>
    <row r="14" spans="1:8" ht="15.6">
      <c r="A14" s="71"/>
      <c r="B14" s="151" t="s">
        <v>309</v>
      </c>
      <c r="C14" s="152"/>
      <c r="D14" s="71"/>
      <c r="E14" s="151" t="s">
        <v>310</v>
      </c>
      <c r="F14" s="152"/>
    </row>
    <row r="15" spans="1:8" ht="15.6">
      <c r="A15" s="153" t="s">
        <v>312</v>
      </c>
      <c r="B15" s="153"/>
      <c r="C15" s="153"/>
      <c r="D15" s="153"/>
      <c r="E15" s="165" t="s">
        <v>311</v>
      </c>
      <c r="F15" s="165"/>
    </row>
    <row r="16" spans="1:8" ht="15.6">
      <c r="A16" s="153" t="s">
        <v>313</v>
      </c>
      <c r="B16" s="153"/>
      <c r="C16" s="153"/>
      <c r="D16" s="153"/>
      <c r="E16" s="71"/>
      <c r="F16" s="71"/>
    </row>
    <row r="17" spans="1:6" ht="15.6">
      <c r="A17" s="153" t="s">
        <v>314</v>
      </c>
      <c r="B17" s="153"/>
      <c r="C17" s="153"/>
      <c r="D17" s="153"/>
      <c r="E17" s="71"/>
      <c r="F17" s="71"/>
    </row>
    <row r="18" spans="1:6" ht="15.6">
      <c r="A18" s="153" t="s">
        <v>315</v>
      </c>
      <c r="B18" s="153"/>
      <c r="C18" s="153"/>
      <c r="D18" s="153"/>
      <c r="E18" s="71"/>
      <c r="F18" s="71"/>
    </row>
    <row r="19" spans="1:6" ht="15.6">
      <c r="A19" s="153" t="s">
        <v>316</v>
      </c>
      <c r="B19" s="153"/>
      <c r="C19" s="153"/>
      <c r="D19" s="153"/>
      <c r="E19" s="71"/>
      <c r="F19" s="71"/>
    </row>
    <row r="20" spans="1:6" ht="15.6">
      <c r="A20" s="153" t="s">
        <v>317</v>
      </c>
      <c r="B20" s="153"/>
      <c r="C20" s="153"/>
      <c r="D20" s="153"/>
      <c r="E20" s="71"/>
      <c r="F20" s="71"/>
    </row>
    <row r="21" spans="1:6" ht="15.6">
      <c r="A21" s="153" t="s">
        <v>318</v>
      </c>
      <c r="B21" s="153"/>
      <c r="C21" s="153"/>
      <c r="D21" s="153"/>
      <c r="E21" s="71"/>
      <c r="F21" s="71"/>
    </row>
  </sheetData>
  <sheetProtection password="CC3D" sheet="1" objects="1" scenarios="1"/>
  <mergeCells count="25">
    <mergeCell ref="A19:D19"/>
    <mergeCell ref="A20:D20"/>
    <mergeCell ref="A21:D21"/>
    <mergeCell ref="E14:F14"/>
    <mergeCell ref="A15:D15"/>
    <mergeCell ref="E15:F15"/>
    <mergeCell ref="A16:D16"/>
    <mergeCell ref="A17:D17"/>
    <mergeCell ref="A18:D18"/>
    <mergeCell ref="A8:A9"/>
    <mergeCell ref="A10:A11"/>
    <mergeCell ref="B12:C12"/>
    <mergeCell ref="B14:C14"/>
    <mergeCell ref="A4:B4"/>
    <mergeCell ref="C4:E4"/>
    <mergeCell ref="A5:B5"/>
    <mergeCell ref="C5:D5"/>
    <mergeCell ref="A6:A7"/>
    <mergeCell ref="B6:B7"/>
    <mergeCell ref="A1:B1"/>
    <mergeCell ref="C1:E1"/>
    <mergeCell ref="A2:B2"/>
    <mergeCell ref="C2:E2"/>
    <mergeCell ref="A3:B3"/>
    <mergeCell ref="C3:E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80" r:id="rId4" name="Button 4">
              <controlPr defaultSize="0" print="0" autoFill="0" autoPict="0" macro="[0]!COUNT_Button1_Click">
                <anchor moveWithCells="1" sizeWithCells="1">
                  <from>
                    <xdr:col>9</xdr:col>
                    <xdr:colOff>350520</xdr:colOff>
                    <xdr:row>5</xdr:row>
                    <xdr:rowOff>106680</xdr:rowOff>
                  </from>
                  <to>
                    <xdr:col>14</xdr:col>
                    <xdr:colOff>30480</xdr:colOff>
                    <xdr:row>7</xdr:row>
                    <xdr:rowOff>236220</xdr:rowOff>
                  </to>
                </anchor>
              </controlPr>
            </control>
          </mc:Choice>
        </mc:AlternateContent>
        <mc:AlternateContent xmlns:mc="http://schemas.openxmlformats.org/markup-compatibility/2006">
          <mc:Choice Requires="x14">
            <control shapeId="50181" r:id="rId5" name="Button 5">
              <controlPr defaultSize="0" print="0" autoFill="0" autoPict="0" macro="[0]!SCHEDULE86_Button2_Click">
                <anchor moveWithCells="1" sizeWithCells="1">
                  <from>
                    <xdr:col>9</xdr:col>
                    <xdr:colOff>350520</xdr:colOff>
                    <xdr:row>2</xdr:row>
                    <xdr:rowOff>144780</xdr:rowOff>
                  </from>
                  <to>
                    <xdr:col>14</xdr:col>
                    <xdr:colOff>7620</xdr:colOff>
                    <xdr:row>4</xdr:row>
                    <xdr:rowOff>198120</xdr:rowOff>
                  </to>
                </anchor>
              </controlPr>
            </control>
          </mc:Choice>
        </mc:AlternateContent>
        <mc:AlternateContent xmlns:mc="http://schemas.openxmlformats.org/markup-compatibility/2006">
          <mc:Choice Requires="x14">
            <control shapeId="50182" r:id="rId6" name="Button 6">
              <controlPr defaultSize="0" print="0" autoFill="0" autoPict="0" macro="[0]!Button5_Click">
                <anchor moveWithCells="1" sizeWithCells="1">
                  <from>
                    <xdr:col>9</xdr:col>
                    <xdr:colOff>350520</xdr:colOff>
                    <xdr:row>7</xdr:row>
                    <xdr:rowOff>411480</xdr:rowOff>
                  </from>
                  <to>
                    <xdr:col>14</xdr:col>
                    <xdr:colOff>53340</xdr:colOff>
                    <xdr:row>8</xdr:row>
                    <xdr:rowOff>114300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dimension ref="A1:H19"/>
  <sheetViews>
    <sheetView showGridLines="0" view="pageBreakPreview" topLeftCell="B1" zoomScaleSheetLayoutView="100" workbookViewId="0">
      <selection activeCell="C8" sqref="C8:F9"/>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7" width="8.88671875" style="42"/>
    <col min="8" max="8" width="4.109375" style="42" customWidth="1"/>
    <col min="9" max="16384" width="8.88671875" style="42"/>
  </cols>
  <sheetData>
    <row r="1" spans="1:8" ht="42.6" customHeight="1">
      <c r="A1" s="124" t="s">
        <v>281</v>
      </c>
      <c r="B1" s="125"/>
      <c r="C1" s="157" t="s">
        <v>282</v>
      </c>
      <c r="D1" s="158"/>
      <c r="E1" s="158"/>
      <c r="F1" s="74"/>
    </row>
    <row r="2" spans="1:8" ht="18" customHeight="1">
      <c r="A2" s="124" t="s">
        <v>283</v>
      </c>
      <c r="B2" s="125"/>
      <c r="C2" s="133" t="s">
        <v>284</v>
      </c>
      <c r="D2" s="159"/>
      <c r="E2" s="159"/>
      <c r="F2" s="75"/>
    </row>
    <row r="3" spans="1:8" ht="18" customHeight="1">
      <c r="A3" s="124" t="s">
        <v>285</v>
      </c>
      <c r="B3" s="125"/>
      <c r="C3" s="133" t="s">
        <v>320</v>
      </c>
      <c r="D3" s="159"/>
      <c r="E3" s="159"/>
      <c r="F3" s="76"/>
    </row>
    <row r="4" spans="1:8" ht="23.4">
      <c r="A4" s="124" t="s">
        <v>287</v>
      </c>
      <c r="B4" s="125"/>
      <c r="C4" s="134" t="s">
        <v>319</v>
      </c>
      <c r="D4" s="135"/>
      <c r="E4" s="135"/>
      <c r="F4" s="78" t="s">
        <v>289</v>
      </c>
      <c r="G4" s="57" t="s">
        <v>321</v>
      </c>
      <c r="H4" s="79" t="str">
        <f>IF(WORK_PLACE2!$K$6=1,"T1",IF(WORK_PLACE2!$K$6=2,"T2","T3"))</f>
        <v>T3</v>
      </c>
    </row>
    <row r="5" spans="1:8" ht="24.6" customHeight="1">
      <c r="A5" s="137" t="s">
        <v>290</v>
      </c>
      <c r="B5" s="138"/>
      <c r="C5" s="139" t="s">
        <v>291</v>
      </c>
      <c r="D5" s="139"/>
      <c r="E5" s="80" t="s">
        <v>292</v>
      </c>
      <c r="F5" s="80" t="s">
        <v>293</v>
      </c>
      <c r="G5" s="57" t="s">
        <v>322</v>
      </c>
      <c r="H5" s="73">
        <f>WORK_PLACE2!$F$51</f>
        <v>0</v>
      </c>
    </row>
    <row r="6" spans="1:8" ht="15">
      <c r="A6" s="121" t="s">
        <v>294</v>
      </c>
      <c r="B6" s="121" t="s">
        <v>295</v>
      </c>
      <c r="C6" s="59" t="s">
        <v>331</v>
      </c>
      <c r="D6" s="59" t="s">
        <v>332</v>
      </c>
      <c r="E6" s="59" t="s">
        <v>333</v>
      </c>
      <c r="F6" s="59" t="s">
        <v>334</v>
      </c>
    </row>
    <row r="7" spans="1:8" ht="15">
      <c r="A7" s="122"/>
      <c r="B7" s="122"/>
      <c r="C7" s="61" t="s">
        <v>352</v>
      </c>
      <c r="D7" s="61" t="s">
        <v>353</v>
      </c>
      <c r="E7" s="61" t="s">
        <v>297</v>
      </c>
      <c r="F7" s="61" t="s">
        <v>298</v>
      </c>
    </row>
    <row r="8" spans="1:8" ht="52.5" customHeight="1">
      <c r="A8" s="143">
        <f>WORK_PLACE!I8</f>
        <v>45673</v>
      </c>
      <c r="B8" s="65">
        <v>1</v>
      </c>
      <c r="C8" s="63"/>
      <c r="D8" s="63"/>
      <c r="E8" s="63"/>
      <c r="F8" s="63"/>
    </row>
    <row r="9" spans="1:8" ht="15">
      <c r="A9" s="144"/>
      <c r="B9" s="65"/>
      <c r="C9" s="63"/>
      <c r="D9" s="63"/>
      <c r="E9" s="63"/>
      <c r="F9" s="63"/>
    </row>
    <row r="10" spans="1:8" ht="19.95" customHeight="1">
      <c r="A10" s="66" t="s">
        <v>303</v>
      </c>
      <c r="B10" s="146" t="s">
        <v>304</v>
      </c>
      <c r="C10" s="147"/>
      <c r="D10" s="63" t="s">
        <v>305</v>
      </c>
      <c r="E10" s="63" t="s">
        <v>306</v>
      </c>
      <c r="F10" s="63" t="s">
        <v>307</v>
      </c>
    </row>
    <row r="11" spans="1:8" ht="15">
      <c r="A11" s="67"/>
      <c r="B11" s="68"/>
      <c r="C11" s="68"/>
      <c r="D11" s="69"/>
      <c r="E11" s="69"/>
      <c r="F11" s="69"/>
    </row>
    <row r="12" spans="1:8" ht="15.6">
      <c r="A12" s="71"/>
      <c r="B12" s="151" t="s">
        <v>309</v>
      </c>
      <c r="C12" s="152"/>
      <c r="D12" s="71"/>
      <c r="E12" s="151" t="s">
        <v>310</v>
      </c>
      <c r="F12" s="152"/>
    </row>
    <row r="13" spans="1:8" ht="15.6">
      <c r="A13" s="153" t="s">
        <v>312</v>
      </c>
      <c r="B13" s="153"/>
      <c r="C13" s="153"/>
      <c r="D13" s="153"/>
      <c r="E13" s="165" t="s">
        <v>311</v>
      </c>
      <c r="F13" s="165"/>
    </row>
    <row r="14" spans="1:8" ht="15.6">
      <c r="A14" s="153" t="s">
        <v>313</v>
      </c>
      <c r="B14" s="153"/>
      <c r="C14" s="153"/>
      <c r="D14" s="153"/>
      <c r="E14" s="71"/>
      <c r="F14" s="71"/>
    </row>
    <row r="15" spans="1:8" ht="15.6">
      <c r="A15" s="153" t="s">
        <v>314</v>
      </c>
      <c r="B15" s="153"/>
      <c r="C15" s="153"/>
      <c r="D15" s="153"/>
      <c r="E15" s="71"/>
      <c r="F15" s="71"/>
    </row>
    <row r="16" spans="1:8" ht="15.6">
      <c r="A16" s="153" t="s">
        <v>315</v>
      </c>
      <c r="B16" s="153"/>
      <c r="C16" s="153"/>
      <c r="D16" s="153"/>
      <c r="E16" s="71"/>
      <c r="F16" s="71"/>
    </row>
    <row r="17" spans="1:6" ht="15.6">
      <c r="A17" s="153" t="s">
        <v>316</v>
      </c>
      <c r="B17" s="153"/>
      <c r="C17" s="153"/>
      <c r="D17" s="153"/>
      <c r="E17" s="71"/>
      <c r="F17" s="71"/>
    </row>
    <row r="18" spans="1:6" ht="15.6">
      <c r="A18" s="153" t="s">
        <v>317</v>
      </c>
      <c r="B18" s="153"/>
      <c r="C18" s="153"/>
      <c r="D18" s="153"/>
      <c r="E18" s="71"/>
      <c r="F18" s="71"/>
    </row>
    <row r="19" spans="1:6" ht="15.6">
      <c r="A19" s="153" t="s">
        <v>318</v>
      </c>
      <c r="B19" s="153"/>
      <c r="C19" s="153"/>
      <c r="D19" s="153"/>
      <c r="E19" s="71"/>
      <c r="F19" s="71"/>
    </row>
  </sheetData>
  <sheetProtection password="CC3D" sheet="1" objects="1" scenarios="1"/>
  <mergeCells count="24">
    <mergeCell ref="A19:D19"/>
    <mergeCell ref="A8:A9"/>
    <mergeCell ref="B10:C10"/>
    <mergeCell ref="B12:C12"/>
    <mergeCell ref="E12:F12"/>
    <mergeCell ref="A13:D13"/>
    <mergeCell ref="E13:F13"/>
    <mergeCell ref="A14:D14"/>
    <mergeCell ref="A15:D15"/>
    <mergeCell ref="A16:D16"/>
    <mergeCell ref="A17:D17"/>
    <mergeCell ref="A18:D18"/>
    <mergeCell ref="A4:B4"/>
    <mergeCell ref="C4:E4"/>
    <mergeCell ref="A5:B5"/>
    <mergeCell ref="C5:D5"/>
    <mergeCell ref="A6:A7"/>
    <mergeCell ref="B6:B7"/>
    <mergeCell ref="A1:B1"/>
    <mergeCell ref="C1:E1"/>
    <mergeCell ref="A2:B2"/>
    <mergeCell ref="C2:E2"/>
    <mergeCell ref="A3:B3"/>
    <mergeCell ref="C3:E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4" r:id="rId4" name="Button 4">
              <controlPr defaultSize="0" print="0" autoFill="0" autoPict="0" macro="[0]!COUNT_Button1_Click">
                <anchor moveWithCells="1" sizeWithCells="1">
                  <from>
                    <xdr:col>9</xdr:col>
                    <xdr:colOff>60960</xdr:colOff>
                    <xdr:row>4</xdr:row>
                    <xdr:rowOff>38100</xdr:rowOff>
                  </from>
                  <to>
                    <xdr:col>13</xdr:col>
                    <xdr:colOff>281940</xdr:colOff>
                    <xdr:row>6</xdr:row>
                    <xdr:rowOff>76200</xdr:rowOff>
                  </to>
                </anchor>
              </controlPr>
            </control>
          </mc:Choice>
        </mc:AlternateContent>
        <mc:AlternateContent xmlns:mc="http://schemas.openxmlformats.org/markup-compatibility/2006">
          <mc:Choice Requires="x14">
            <control shapeId="51205" r:id="rId5" name="Button 5">
              <controlPr defaultSize="0" print="0" autoFill="0" autoPict="0" macro="[0]!SCHEDULE86_Button2_Click">
                <anchor moveWithCells="1" sizeWithCells="1">
                  <from>
                    <xdr:col>9</xdr:col>
                    <xdr:colOff>60960</xdr:colOff>
                    <xdr:row>1</xdr:row>
                    <xdr:rowOff>15240</xdr:rowOff>
                  </from>
                  <to>
                    <xdr:col>13</xdr:col>
                    <xdr:colOff>259080</xdr:colOff>
                    <xdr:row>3</xdr:row>
                    <xdr:rowOff>114300</xdr:rowOff>
                  </to>
                </anchor>
              </controlPr>
            </control>
          </mc:Choice>
        </mc:AlternateContent>
        <mc:AlternateContent xmlns:mc="http://schemas.openxmlformats.org/markup-compatibility/2006">
          <mc:Choice Requires="x14">
            <control shapeId="51206" r:id="rId6" name="Button 6">
              <controlPr defaultSize="0" print="0" autoFill="0" autoPict="0" macro="[0]!Button5_Click">
                <anchor moveWithCells="1" sizeWithCells="1">
                  <from>
                    <xdr:col>9</xdr:col>
                    <xdr:colOff>60960</xdr:colOff>
                    <xdr:row>7</xdr:row>
                    <xdr:rowOff>99060</xdr:rowOff>
                  </from>
                  <to>
                    <xdr:col>13</xdr:col>
                    <xdr:colOff>304800</xdr:colOff>
                    <xdr:row>8</xdr:row>
                    <xdr:rowOff>83820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P58"/>
  <sheetViews>
    <sheetView showGridLines="0" zoomScale="70" zoomScaleNormal="70" workbookViewId="0">
      <selection activeCell="I33" sqref="I33"/>
    </sheetView>
  </sheetViews>
  <sheetFormatPr defaultColWidth="8.88671875" defaultRowHeight="14.4"/>
  <cols>
    <col min="1" max="1" width="18.109375" style="42" customWidth="1"/>
    <col min="2" max="2" width="53" style="42" bestFit="1" customWidth="1"/>
    <col min="3" max="3" width="16.88671875" style="42" bestFit="1" customWidth="1"/>
    <col min="4" max="4" width="15.6640625" style="42" bestFit="1" customWidth="1"/>
    <col min="5" max="8" width="8.88671875" style="42"/>
    <col min="9" max="9" width="20.88671875" style="42" bestFit="1" customWidth="1"/>
    <col min="10" max="10" width="8.88671875" style="42"/>
    <col min="11" max="11" width="11.44140625" style="42" customWidth="1"/>
    <col min="12" max="12" width="8.88671875" style="42"/>
    <col min="13" max="13" width="9.6640625" style="42" customWidth="1"/>
    <col min="14" max="14" width="6.33203125" style="42" customWidth="1"/>
    <col min="15" max="15" width="11.44140625" style="42" customWidth="1"/>
    <col min="16" max="16384" width="8.88671875" style="42"/>
  </cols>
  <sheetData>
    <row r="1" spans="1:16" ht="126" customHeight="1">
      <c r="A1" s="43"/>
      <c r="B1" s="43"/>
      <c r="C1" s="43"/>
      <c r="J1" s="166"/>
      <c r="K1" s="166"/>
      <c r="M1" s="42" t="s">
        <v>3</v>
      </c>
    </row>
    <row r="2" spans="1:16" ht="14.25" customHeight="1">
      <c r="A2" s="44" t="s">
        <v>278</v>
      </c>
      <c r="B2" s="103" t="s">
        <v>279</v>
      </c>
      <c r="C2" s="42" t="s">
        <v>271</v>
      </c>
      <c r="D2" s="42" t="s">
        <v>280</v>
      </c>
      <c r="M2" s="117"/>
      <c r="N2" s="117"/>
    </row>
    <row r="3" spans="1:16">
      <c r="A3" s="86" t="str" cm="1">
        <f t="array" ref="A3">IF(Table1[[#This Row],[TOPIC LIST]]="","",INT((ROW()-3)/WORK_PLACE!$I$2+1) &amp; INDEX({"I","II","III","IV","V","VI","VII","VIII","IX","X"}, MOD(ROW()-3, WORK_PLACE!$I$2)+1))</f>
        <v/>
      </c>
      <c r="B3" s="45"/>
      <c r="C3" t="str">
        <f>IFERROR(
    IF(D3=0,
        IF($K$6=1,VLOOKUP(B3,SOURCE!$D$1:$I$2329,3,0),
        IF($K$6=2,VLOOKUP(B3,SOURCE!$D$1:$I$2329,4,0),
        IF($K$6=3,VLOOKUP(B3,SOURCE!$D$1:$I$2329,5,0),
        VLOOKUP(B3,SOURCE!$D$1:$I$2329,6,0)))),
    IF(D3=1,VLOOKUP(B3,SOURCE!$D$1:$I$2329,3,0),
    IF(D3=2,VLOOKUP(B3,SOURCE!$D$1:$I$2329,4,0),
    IF(D3=3,VLOOKUP(B3,SOURCE!$D$1:$I$2329,5,0),
    VLOOKUP(B3,SOURCE!$D$1:$I$2329,6,0))))),
"")</f>
        <v/>
      </c>
      <c r="D3" s="42">
        <v>0</v>
      </c>
      <c r="F3" s="53">
        <f>IF(Table1[[#This Row],[STAFF CODE]]=0,0,IF(Table1[[#This Row],[STAFF CODE]]=$K$6,0,1))</f>
        <v>0</v>
      </c>
      <c r="G3" s="48"/>
      <c r="M3" s="117"/>
      <c r="N3" s="117"/>
      <c r="P3" s="48"/>
    </row>
    <row r="4" spans="1:16">
      <c r="A4" s="86" t="str" cm="1">
        <f t="array" ref="A4">IF(Table1[[#This Row],[TOPIC LIST]]="","",INT((ROW()-3)/WORK_PLACE!$I$2+1) &amp; INDEX({"I","II","III","IV","V","VI","VII","VIII","IX","X"}, MOD(ROW()-3, WORK_PLACE!$I$2)+1))</f>
        <v/>
      </c>
      <c r="B4" s="45"/>
      <c r="C4" t="str">
        <f>IFERROR(
    IF(D4=0,
        IF($K$6=1,VLOOKUP(B4,SOURCE!$D$1:$I$2329,3,0),
        IF($K$6=2,VLOOKUP(B4,SOURCE!$D$1:$I$2329,4,0),
        IF($K$6=3,VLOOKUP(B4,SOURCE!$D$1:$I$2329,5,0),
        VLOOKUP(B4,SOURCE!$D$1:$I$2329,6,0)))),
    IF(D4=1,VLOOKUP(B4,SOURCE!$D$1:$I$2329,3,0),
    IF(D4=2,VLOOKUP(B4,SOURCE!$D$1:$I$2329,4,0),
    IF(D4=3,VLOOKUP(B4,SOURCE!$D$1:$I$2329,5,0),
    VLOOKUP(B4,SOURCE!$D$1:$I$2329,6,0))))),
"")</f>
        <v/>
      </c>
      <c r="D4" s="42">
        <v>0</v>
      </c>
      <c r="F4" s="53">
        <f>IF(Table1[[#This Row],[STAFF CODE]]=0,0,IF(Table1[[#This Row],[STAFF CODE]]=$K$6,0,1))</f>
        <v>0</v>
      </c>
      <c r="M4" s="117"/>
      <c r="N4" s="117"/>
      <c r="P4" s="48"/>
    </row>
    <row r="5" spans="1:16">
      <c r="A5" s="86" t="str" cm="1">
        <f t="array" ref="A5">IF(Table1[[#This Row],[TOPIC LIST]]="","",INT((ROW()-3)/WORK_PLACE!$I$2+1) &amp; INDEX({"I","II","IIŉ","IV","V","VI","VII","VIII","IX","X"}, MOD(ROW()-3, WORK_PLACE!$I$2)+1))</f>
        <v/>
      </c>
      <c r="B5" s="45"/>
      <c r="C5" t="str">
        <f>IFERROR(
    IF(D5=0,
        IF($K$6=1,VLOOKUP(B5,SOURCE!$D$1:$I$2329,3,0),
        IF($K$6=2,VLOOKUP(B5,SOURCE!$D$1:$I$2329,4,0),
        IF($K$6=3,VLOOKUP(B5,SOURCE!$D$1:$I$2329,5,0),
        VLOOKUP(B5,SOURCE!$D$1:$I$2329,6,0)))),
    IF(D5=1,VLOOKUP(B5,SOURCE!$D$1:$I$2329,3,0),
    IF(D5=2,VLOOKUP(B5,SOURCE!$D$1:$I$2329,4,0),
    IF(D5=3,VLOOKUP(B5,SOURCE!$D$1:$I$2329,5,0),
    VLOOKUP(B5,SOURCE!$D$1:$I$2329,6,0))))),
"")</f>
        <v/>
      </c>
      <c r="D5" s="42">
        <v>0</v>
      </c>
      <c r="F5" s="53">
        <f>IF(Table1[[#This Row],[STAFF CODE]]=0,0,IF(Table1[[#This Row],[STAFF CODE]]=$K$6,0,1))</f>
        <v>0</v>
      </c>
      <c r="M5" s="117"/>
      <c r="N5" s="117"/>
      <c r="O5" s="48"/>
      <c r="P5" s="48"/>
    </row>
    <row r="6" spans="1:16" ht="24" customHeight="1">
      <c r="A6" s="86" t="str" cm="1">
        <f t="array" ref="A6">IF(Table1[[#This Row],[TOPIC LIST]]="","",INT((ROW()-3)/WORK_PLACE!$I$2+1) &amp; INDEX({"I","II","III","IV","V","VI","VII","VIII","IX","X"}, MOD(ROW()-3, WORK_PLACE!$I$2)+1))</f>
        <v/>
      </c>
      <c r="B6" s="45"/>
      <c r="C6" t="str">
        <f>IFERROR(
    IF(D6=0,
        IF($K$6=1,VLOOKUP(B6,SOURCE!$D$1:$I$2329,3,0),
        IF($K$6=2,VLOOKUP(B6,SOURCE!$D$1:$I$2329,4,0),
        IF($K$6=3,VLOOKUP(B6,SOURCE!$D$1:$I$2329,5,0),
        VLOOKUP(B6,SOURCE!$D$1:$I$2329,6,0)))),
    IF(D6=1,VLOOKUP(B6,SOURCE!$D$1:$I$2329,3,0),
    IF(D6=2,VLOOKUP(B6,SOURCE!$D$1:$I$2329,4,0),
    IF(D6=3,VLOOKUP(B6,SOURCE!$D$1:$I$2329,5,0),
    VLOOKUP(B6,SOURCE!$D$1:$I$2329,6,0))))),
"")</f>
        <v/>
      </c>
      <c r="D6" s="42">
        <v>0</v>
      </c>
      <c r="F6" s="53">
        <f>IF(Table1[[#This Row],[STAFF CODE]]=0,0,IF(Table1[[#This Row],[STAFF CODE]]=$K$6,0,1))</f>
        <v>0</v>
      </c>
      <c r="K6" s="119">
        <v>4</v>
      </c>
      <c r="M6" s="117"/>
      <c r="N6" s="117"/>
      <c r="O6" s="51"/>
      <c r="P6" s="48"/>
    </row>
    <row r="7" spans="1:16">
      <c r="A7" s="86" t="str" cm="1">
        <f t="array" ref="A7">IF(Table1[[#This Row],[TOPIC LIST]]="","",INT((ROW()-3)/WORK_PLACE!$I$2+1) &amp; INDEX({"I","II","III","IV","V","VI","VII","VIII","IX","X"}, MOD(ROW()-3, WORK_PLACE!$I$2)+1))</f>
        <v/>
      </c>
      <c r="B7" s="45"/>
      <c r="C7" t="str">
        <f>IFERROR(
    IF(D7=0,
        IF($K$6=1,VLOOKUP(B7,SOURCE!$D$1:$I$2329,3,0),
        IF($K$6=2,VLOOKUP(B7,SOURCE!$D$1:$I$2329,4,0),
        IF($K$6=3,VLOOKUP(B7,SOURCE!$D$1:$I$2329,5,0),
        VLOOKUP(B7,SOURCE!$D$1:$I$2329,6,0)))),
    IF(D7=1,VLOOKUP(B7,SOURCE!$D$1:$I$2329,3,0),
    IF(D7=2,VLOOKUP(B7,SOURCE!$D$1:$I$2329,4,0),
    IF(D7=3,VLOOKUP(B7,SOURCE!$D$1:$I$2329,5,0),
    VLOOKUP(B7,SOURCE!$D$1:$I$2329,6,0))))),
"")</f>
        <v/>
      </c>
      <c r="D7" s="42">
        <v>0</v>
      </c>
      <c r="F7" s="53">
        <f>IF(Table1[[#This Row],[STAFF CODE]]=0,0,IF(Table1[[#This Row],[STAFF CODE]]=$K$6,0,1))</f>
        <v>0</v>
      </c>
      <c r="M7" s="118"/>
      <c r="N7" s="118"/>
      <c r="O7" s="51"/>
    </row>
    <row r="8" spans="1:16">
      <c r="A8" s="86" t="str" cm="1">
        <f t="array" ref="A8">IF(Table1[[#This Row],[TOPIC LIST]]="","",INT((ROW()-3)/WORK_PLACE!$I$2+1) &amp; INDEX({"I","II","III","IV","V","VI","VII","VIII","IX","X"}, MOD(ROW()-3, WORK_PLACE!$I$2)+1))</f>
        <v/>
      </c>
      <c r="B8" s="45"/>
      <c r="C8" t="str">
        <f>IFERROR(
    IF(D8=0,
        IF($K$6=1,VLOOKUP(B8,SOURCE!$D$1:$I$2329,3,0),
        IF($K$6=2,VLOOKUP(B8,SOURCE!$D$1:$I$2329,4,0),
        IF($K$6=3,VLOOKUP(B8,SOURCE!$D$1:$I$2329,5,0),
        VLOOKUP(B8,SOURCE!$D$1:$I$2329,6,0)))),
    IF(D8=1,VLOOKUP(B8,SOURCE!$D$1:$I$2329,3,0),
    IF(D8=2,VLOOKUP(B8,SOURCE!$D$1:$I$2329,4,0),
    IF(D8=3,VLOOKUP(B8,SOURCE!$D$1:$I$2329,5,0),
    VLOOKUP(B8,SOURCE!$D$1:$I$2329,6,0))))),
"")</f>
        <v/>
      </c>
      <c r="D8" s="42">
        <v>0</v>
      </c>
      <c r="F8" s="53">
        <f>IF(Table1[[#This Row],[STAFF CODE]]=0,0,IF(Table1[[#This Row],[STAFF CODE]]=$K$6,0,1))</f>
        <v>0</v>
      </c>
      <c r="L8" s="43"/>
      <c r="M8" s="150" t="s">
        <v>280</v>
      </c>
      <c r="N8" s="150"/>
    </row>
    <row r="9" spans="1:16">
      <c r="A9" s="86" t="str" cm="1">
        <f t="array" ref="A9">IF(Table1[[#This Row],[TOPIC LIST]]="","",INT((ROW()-3)/WORK_PLACE!$I$2+1) &amp; INDEX({"I","II","IIŉ","IV","V","VI","VII","VIII","IX","X"}, MOD(ROW()-3, WORK_PLACE!$I$2)+1))</f>
        <v/>
      </c>
      <c r="B9" s="45"/>
      <c r="C9" t="str">
        <f>IFERROR(
    IF(D9=0,
        IF($K$6=1,VLOOKUP(B9,SOURCE!$D$1:$I$2329,3,0),
        IF($K$6=2,VLOOKUP(B9,SOURCE!$D$1:$I$2329,4,0),
        IF($K$6=3,VLOOKUP(B9,SOURCE!$D$1:$I$2329,5,0),
        VLOOKUP(B9,SOURCE!$D$1:$I$2329,6,0)))),
    IF(D9=1,VLOOKUP(B9,SOURCE!$D$1:$I$2329,3,0),
    IF(D9=2,VLOOKUP(B9,SOURCE!$D$1:$I$2329,4,0),
    IF(D9=3,VLOOKUP(B9,SOURCE!$D$1:$I$2329,5,0),
    VLOOKUP(B9,SOURCE!$D$1:$I$2329,6,0))))),
"")</f>
        <v/>
      </c>
      <c r="D9" s="42">
        <v>0</v>
      </c>
      <c r="F9" s="53">
        <f>IF(Table1[[#This Row],[STAFF CODE]]=0,0,IF(Table1[[#This Row],[STAFF CODE]]=$K$6,0,1))</f>
        <v>0</v>
      </c>
      <c r="M9" s="42" t="s">
        <v>0</v>
      </c>
      <c r="N9" s="42">
        <v>1</v>
      </c>
    </row>
    <row r="10" spans="1:16">
      <c r="A10" s="86" t="str" cm="1">
        <f t="array" ref="A10">IF(Table1[[#This Row],[TOPIC LIST]]="","",INT((ROW()-3)/WORK_PLACE!$I$2+1) &amp; INDEX({"I","II","IIŉ","IV","V","VI","VII","VIII","IX","X"}, MOD(ROW()-3, WORK_PLACE!$I$2)+1))</f>
        <v/>
      </c>
      <c r="B10" s="45"/>
      <c r="C10" t="str">
        <f>IFERROR(
    IF(D10=0,
        IF($K$6=1,VLOOKUP(B10,SOURCE!$D$1:$I$2329,3,0),
        IF($K$6=2,VLOOKUP(B10,SOURCE!$D$1:$I$2329,4,0),
        IF($K$6=3,VLOOKUP(B10,SOURCE!$D$1:$I$2329,5,0),
        VLOOKUP(B10,SOURCE!$D$1:$I$2329,6,0)))),
    IF(D10=1,VLOOKUP(B10,SOURCE!$D$1:$I$2329,3,0),
    IF(D10=2,VLOOKUP(B10,SOURCE!$D$1:$I$2329,4,0),
    IF(D10=3,VLOOKUP(B10,SOURCE!$D$1:$I$2329,5,0),
    VLOOKUP(B10,SOURCE!$D$1:$I$2329,6,0))))),
"")</f>
        <v/>
      </c>
      <c r="D10" s="42">
        <v>0</v>
      </c>
      <c r="F10" s="53">
        <f>IF(Table1[[#This Row],[STAFF CODE]]=0,0,IF(Table1[[#This Row],[STAFF CODE]]=$K$6,0,1))</f>
        <v>0</v>
      </c>
      <c r="M10" s="42" t="s">
        <v>1</v>
      </c>
      <c r="N10" s="42">
        <v>2</v>
      </c>
    </row>
    <row r="11" spans="1:16">
      <c r="A11" s="86" t="str" cm="1">
        <f t="array" ref="A11">IF(Table1[[#This Row],[TOPIC LIST]]="","",INT((ROW()-3)/WORK_PLACE!$I$2+1) &amp; INDEX({"I","II","IIŉ","IV","V","VI","VII","VIII","IX","X"}, MOD(ROW()-3, WORK_PLACE!$I$2)+1))</f>
        <v/>
      </c>
      <c r="B11" s="45"/>
      <c r="C11" t="str">
        <f>IFERROR(
    IF(D11=0,
        IF($K$6=1,VLOOKUP(B11,SOURCE!$D$1:$I$2329,3,0),
        IF($K$6=2,VLOOKUP(B11,SOURCE!$D$1:$I$2329,4,0),
        IF($K$6=3,VLOOKUP(B11,SOURCE!$D$1:$I$2329,5,0),
        VLOOKUP(B11,SOURCE!$D$1:$I$2329,6,0)))),
    IF(D11=1,VLOOKUP(B11,SOURCE!$D$1:$I$2329,3,0),
    IF(D11=2,VLOOKUP(B11,SOURCE!$D$1:$I$2329,4,0),
    IF(D11=3,VLOOKUP(B11,SOURCE!$D$1:$I$2329,5,0),
    VLOOKUP(B11,SOURCE!$D$1:$I$2329,6,0))))),
"")</f>
        <v/>
      </c>
      <c r="D11" s="42">
        <v>0</v>
      </c>
      <c r="F11" s="53">
        <f>IF(Table1[[#This Row],[STAFF CODE]]=0,0,IF(Table1[[#This Row],[STAFF CODE]]=$K$6,0,1))</f>
        <v>0</v>
      </c>
      <c r="M11" s="42" t="s">
        <v>2</v>
      </c>
      <c r="N11" s="42">
        <v>3</v>
      </c>
    </row>
    <row r="12" spans="1:16" ht="14.25" customHeight="1">
      <c r="A12" s="86" t="str" cm="1">
        <f t="array" ref="A12">IF(Table1[[#This Row],[TOPIC LIST]]="","",INT((ROW()-3)/WORK_PLACE!$I$2+1) &amp; INDEX({"I","II","III","IV","V","VI","VII","VIII","IX","X"}, MOD(ROW()-3, WORK_PLACE!$I$2)+1))</f>
        <v/>
      </c>
      <c r="B12" s="45"/>
      <c r="C12" t="str">
        <f>IFERROR(
    IF(D12=0,
        IF($K$6=1,VLOOKUP(B12,SOURCE!$D$1:$I$2329,3,0),
        IF($K$6=2,VLOOKUP(B12,SOURCE!$D$1:$I$2329,4,0),
        IF($K$6=3,VLOOKUP(B12,SOURCE!$D$1:$I$2329,5,0),
        VLOOKUP(B12,SOURCE!$D$1:$I$2329,6,0)))),
    IF(D12=1,VLOOKUP(B12,SOURCE!$D$1:$I$2329,3,0),
    IF(D12=2,VLOOKUP(B12,SOURCE!$D$1:$I$2329,4,0),
    IF(D12=3,VLOOKUP(B12,SOURCE!$D$1:$I$2329,5,0),
    VLOOKUP(B12,SOURCE!$D$1:$I$2329,6,0))))),
"")</f>
        <v/>
      </c>
      <c r="D12" s="42">
        <v>0</v>
      </c>
      <c r="F12" s="53">
        <f>IF(Table1[[#This Row],[STAFF CODE]]=0,0,IF(Table1[[#This Row],[STAFF CODE]]=$K$6,0,1))</f>
        <v>0</v>
      </c>
      <c r="M12" s="42" t="s">
        <v>351</v>
      </c>
      <c r="N12" s="42">
        <v>4</v>
      </c>
    </row>
    <row r="13" spans="1:16" ht="43.2">
      <c r="A13" s="86" t="str" cm="1">
        <f t="array" ref="A13">IF(Table1[[#This Row],[TOPIC LIST]]="","",INT((ROW()-3)/WORK_PLACE!$I$2+1) &amp; INDEX({"I","II","IIŉ","IV","V","VI","VII","VIII","IX","X"}, MOD(ROW()-3, WORK_PLACE!$I$2)+1))</f>
        <v/>
      </c>
      <c r="B13" s="45"/>
      <c r="C13" t="str">
        <f>IFERROR(
    IF(D13=0,
        IF($K$6=1,VLOOKUP(B13,SOURCE!$D$1:$I$2329,3,0),
        IF($K$6=2,VLOOKUP(B13,SOURCE!$D$1:$I$2329,4,0),
        IF($K$6=3,VLOOKUP(B13,SOURCE!$D$1:$I$2329,5,0),
        VLOOKUP(B13,SOURCE!$D$1:$I$2329,6,0)))),
    IF(D13=1,VLOOKUP(B13,SOURCE!$D$1:$I$2329,3,0),
    IF(D13=2,VLOOKUP(B13,SOURCE!$D$1:$I$2329,4,0),
    IF(D13=3,VLOOKUP(B13,SOURCE!$D$1:$I$2329,5,0),
    VLOOKUP(B13,SOURCE!$D$1:$I$2329,6,0))))),
"")</f>
        <v/>
      </c>
      <c r="D13" s="42">
        <v>0</v>
      </c>
      <c r="F13" s="53">
        <f>IF(Table1[[#This Row],[STAFF CODE]]=0,0,IF(Table1[[#This Row],[STAFF CODE]]=$K$6,0,1))</f>
        <v>0</v>
      </c>
      <c r="M13" s="45" t="s">
        <v>48</v>
      </c>
      <c r="N13" s="42">
        <v>0</v>
      </c>
    </row>
    <row r="14" spans="1:16">
      <c r="A14" s="86" t="str" cm="1">
        <f t="array" ref="A14">IF(Table1[[#This Row],[TOPIC LIST]]="","",INT((ROW()-3)/WORK_PLACE!$I$2+1) &amp; INDEX({"I","II","III","IV","V","VI","VII","VIII","IX","X"}, MOD(ROW()-3, WORK_PLACE!$I$2)+1))</f>
        <v/>
      </c>
      <c r="B14" s="45"/>
      <c r="C14" t="str">
        <f>IFERROR(
    IF(D14=0,
        IF($K$6=1,VLOOKUP(B14,SOURCE!$D$1:$I$2329,3,0),
        IF($K$6=2,VLOOKUP(B14,SOURCE!$D$1:$I$2329,4,0),
        IF($K$6=3,VLOOKUP(B14,SOURCE!$D$1:$I$2329,5,0),
        VLOOKUP(B14,SOURCE!$D$1:$I$2329,6,0)))),
    IF(D14=1,VLOOKUP(B14,SOURCE!$D$1:$I$2329,3,0),
    IF(D14=2,VLOOKUP(B14,SOURCE!$D$1:$I$2329,4,0),
    IF(D14=3,VLOOKUP(B14,SOURCE!$D$1:$I$2329,5,0),
    VLOOKUP(B14,SOURCE!$D$1:$I$2329,6,0))))),
"")</f>
        <v/>
      </c>
      <c r="D14" s="42">
        <v>0</v>
      </c>
      <c r="F14" s="53">
        <f>IF(Table1[[#This Row],[STAFF CODE]]=0,0,IF(Table1[[#This Row],[STAFF CODE]]=$K$6,0,1))</f>
        <v>0</v>
      </c>
    </row>
    <row r="15" spans="1:16">
      <c r="A15" s="86" t="str" cm="1">
        <f t="array" ref="A15">IF(Table1[[#This Row],[TOPIC LIST]]="","",INT((ROW()-3)/WORK_PLACE!$I$2+1) &amp; INDEX({"I","II","III","IV","V","VI","VII","VIII","IX","X"}, MOD(ROW()-3, WORK_PLACE!$I$2)+1))</f>
        <v/>
      </c>
      <c r="B15" s="45"/>
      <c r="C15" t="str">
        <f>IFERROR(
    IF(D15=0,
        IF($K$6=1,VLOOKUP(B15,SOURCE!$D$1:$I$2329,3,0),
        IF($K$6=2,VLOOKUP(B15,SOURCE!$D$1:$I$2329,4,0),
        IF($K$6=3,VLOOKUP(B15,SOURCE!$D$1:$I$2329,5,0),
        VLOOKUP(B15,SOURCE!$D$1:$I$2329,6,0)))),
    IF(D15=1,VLOOKUP(B15,SOURCE!$D$1:$I$2329,3,0),
    IF(D15=2,VLOOKUP(B15,SOURCE!$D$1:$I$2329,4,0),
    IF(D15=3,VLOOKUP(B15,SOURCE!$D$1:$I$2329,5,0),
    VLOOKUP(B15,SOURCE!$D$1:$I$2329,6,0))))),
"")</f>
        <v/>
      </c>
      <c r="D15" s="42">
        <v>0</v>
      </c>
      <c r="F15" s="53">
        <f>IF(Table1[[#This Row],[STAFF CODE]]=0,0,IF(Table1[[#This Row],[STAFF CODE]]=$K$6,0,1))</f>
        <v>0</v>
      </c>
    </row>
    <row r="16" spans="1:16">
      <c r="A16" s="86" t="str" cm="1">
        <f t="array" ref="A16">IF(Table1[[#This Row],[TOPIC LIST]]="","",INT((ROW()-3)/WORK_PLACE!$I$2+1) &amp; INDEX({"I","II","III","IV","V","VI","VII","VIII","IX","X"}, MOD(ROW()-3, WORK_PLACE!$I$2)+1))</f>
        <v/>
      </c>
      <c r="B16" s="45"/>
      <c r="C16" t="str">
        <f>IFERROR(
    IF(D16=0,
        IF($K$6=1,VLOOKUP(B16,SOURCE!$D$1:$I$2329,3,0),
        IF($K$6=2,VLOOKUP(B16,SOURCE!$D$1:$I$2329,4,0),
        IF($K$6=3,VLOOKUP(B16,SOURCE!$D$1:$I$2329,5,0),
        VLOOKUP(B16,SOURCE!$D$1:$I$2329,6,0)))),
    IF(D16=1,VLOOKUP(B16,SOURCE!$D$1:$I$2329,3,0),
    IF(D16=2,VLOOKUP(B16,SOURCE!$D$1:$I$2329,4,0),
    IF(D16=3,VLOOKUP(B16,SOURCE!$D$1:$I$2329,5,0),
    VLOOKUP(B16,SOURCE!$D$1:$I$2329,6,0))))),
"")</f>
        <v/>
      </c>
      <c r="D16" s="42">
        <v>0</v>
      </c>
      <c r="F16" s="53">
        <f>IF(Table1[[#This Row],[STAFF CODE]]=0,0,IF(Table1[[#This Row],[STAFF CODE]]=$K$6,0,1))</f>
        <v>0</v>
      </c>
    </row>
    <row r="17" spans="1:6">
      <c r="A17" s="86" t="str" cm="1">
        <f t="array" ref="A17">IF(Table1[[#This Row],[TOPIC LIST]]="","",INT((ROW()-3)/WORK_PLACE!$I$2+1) &amp; INDEX({"I","II","III","IV","V","VI","VII","VIII","IX","X"}, MOD(ROW()-3, WORK_PLACE!$I$2)+1))</f>
        <v/>
      </c>
      <c r="B17" s="45"/>
      <c r="C17" t="str">
        <f>IFERROR(
    IF(D17=0,
        IF($K$6=1,VLOOKUP(B17,SOURCE!$D$1:$I$2329,3,0),
        IF($K$6=2,VLOOKUP(B17,SOURCE!$D$1:$I$2329,4,0),
        IF($K$6=3,VLOOKUP(B17,SOURCE!$D$1:$I$2329,5,0),
        VLOOKUP(B17,SOURCE!$D$1:$I$2329,6,0)))),
    IF(D17=1,VLOOKUP(B17,SOURCE!$D$1:$I$2329,3,0),
    IF(D17=2,VLOOKUP(B17,SOURCE!$D$1:$I$2329,4,0),
    IF(D17=3,VLOOKUP(B17,SOURCE!$D$1:$I$2329,5,0),
    VLOOKUP(B17,SOURCE!$D$1:$I$2329,6,0))))),
"")</f>
        <v/>
      </c>
      <c r="D17" s="42">
        <v>0</v>
      </c>
      <c r="F17" s="53">
        <f>IF(Table1[[#This Row],[STAFF CODE]]=0,0,IF(Table1[[#This Row],[STAFF CODE]]=$K$6,0,1))</f>
        <v>0</v>
      </c>
    </row>
    <row r="18" spans="1:6">
      <c r="A18" s="86" t="str" cm="1">
        <f t="array" ref="A18">IF(Table1[[#This Row],[TOPIC LIST]]="","",INT((ROW()-3)/WORK_PLACE!$I$2+1) &amp; INDEX({"I","II","IIŉ","IV","V","VI","VII","VIII","IX","X"}, MOD(ROW()-3, WORK_PLACE!$I$2)+1))</f>
        <v/>
      </c>
      <c r="B18" s="45"/>
      <c r="C18" t="str">
        <f>IFERROR(
    IF(D18=0,
        IF($K$6=1,VLOOKUP(B18,SOURCE!$D$1:$I$2329,3,0),
        IF($K$6=2,VLOOKUP(B18,SOURCE!$D$1:$I$2329,4,0),
        IF($K$6=3,VLOOKUP(B18,SOURCE!$D$1:$I$2329,5,0),
        VLOOKUP(B18,SOURCE!$D$1:$I$2329,6,0)))),
    IF(D18=1,VLOOKUP(B18,SOURCE!$D$1:$I$2329,3,0),
    IF(D18=2,VLOOKUP(B18,SOURCE!$D$1:$I$2329,4,0),
    IF(D18=3,VLOOKUP(B18,SOURCE!$D$1:$I$2329,5,0),
    VLOOKUP(B18,SOURCE!$D$1:$I$2329,6,0))))),
"")</f>
        <v/>
      </c>
      <c r="D18" s="42">
        <v>0</v>
      </c>
      <c r="F18" s="53">
        <f>IF(Table1[[#This Row],[STAFF CODE]]=0,0,IF(Table1[[#This Row],[STAFF CODE]]=$K$6,0,1))</f>
        <v>0</v>
      </c>
    </row>
    <row r="19" spans="1:6">
      <c r="A19" s="86" t="str" cm="1">
        <f t="array" ref="A19">IF(Table1[[#This Row],[TOPIC LIST]]="","",INT((ROW()-3)/WORK_PLACE!$I$2+1) &amp; INDEX({"I","II","III","IV","V","VI","VII","VIII","IX","X"}, MOD(ROW()-3, WORK_PLACE!$I$2)+1))</f>
        <v/>
      </c>
      <c r="B19" s="45"/>
      <c r="C19" t="str">
        <f>IFERROR(
    IF(D19=0,
        IF($K$6=1,VLOOKUP(B19,SOURCE!$D$1:$I$2329,3,0),
        IF($K$6=2,VLOOKUP(B19,SOURCE!$D$1:$I$2329,4,0),
        IF($K$6=3,VLOOKUP(B19,SOURCE!$D$1:$I$2329,5,0),
        VLOOKUP(B19,SOURCE!$D$1:$I$2329,6,0)))),
    IF(D19=1,VLOOKUP(B19,SOURCE!$D$1:$I$2329,3,0),
    IF(D19=2,VLOOKUP(B19,SOURCE!$D$1:$I$2329,4,0),
    IF(D19=3,VLOOKUP(B19,SOURCE!$D$1:$I$2329,5,0),
    VLOOKUP(B19,SOURCE!$D$1:$I$2329,6,0))))),
"")</f>
        <v/>
      </c>
      <c r="D19" s="42">
        <v>0</v>
      </c>
      <c r="F19" s="53">
        <f>IF(Table1[[#This Row],[STAFF CODE]]=0,0,IF(Table1[[#This Row],[STAFF CODE]]=$K$6,0,1))</f>
        <v>0</v>
      </c>
    </row>
    <row r="20" spans="1:6">
      <c r="A20" s="86" t="str" cm="1">
        <f t="array" ref="A20">IF(Table1[[#This Row],[TOPIC LIST]]="","",INT((ROW()-3)/WORK_PLACE!$I$2+1) &amp; INDEX({"I","II","III","IV","V","VI","VII","VIII","IX","X"}, MOD(ROW()-3, WORK_PLACE!$I$2)+1))</f>
        <v/>
      </c>
      <c r="B20" s="45"/>
      <c r="C20" t="str">
        <f>IFERROR(
    IF(D20=0,
        IF($K$6=1,VLOOKUP(B20,SOURCE!$D$1:$I$2329,3,0),
        IF($K$6=2,VLOOKUP(B20,SOURCE!$D$1:$I$2329,4,0),
        IF($K$6=3,VLOOKUP(B20,SOURCE!$D$1:$I$2329,5,0),
        VLOOKUP(B20,SOURCE!$D$1:$I$2329,6,0)))),
    IF(D20=1,VLOOKUP(B20,SOURCE!$D$1:$I$2329,3,0),
    IF(D20=2,VLOOKUP(B20,SOURCE!$D$1:$I$2329,4,0),
    IF(D20=3,VLOOKUP(B20,SOURCE!$D$1:$I$2329,5,0),
    VLOOKUP(B20,SOURCE!$D$1:$I$2329,6,0))))),
"")</f>
        <v/>
      </c>
      <c r="D20" s="42">
        <v>0</v>
      </c>
      <c r="F20" s="53">
        <f>IF(Table1[[#This Row],[STAFF CODE]]=0,0,IF(Table1[[#This Row],[STAFF CODE]]=$K$6,0,1))</f>
        <v>0</v>
      </c>
    </row>
    <row r="21" spans="1:6">
      <c r="A21" s="86" t="str" cm="1">
        <f t="array" ref="A21">IF(Table1[[#This Row],[TOPIC LIST]]="","",INT((ROW()-3)/WORK_PLACE!$I$2+1) &amp; INDEX({"I","II","IIŉ","IV","V","VI","VII","VIII","IX","X"}, MOD(ROW()-3, WORK_PLACE!$I$2)+1))</f>
        <v/>
      </c>
      <c r="B21" s="45"/>
      <c r="C21" t="str">
        <f>IFERROR(
    IF(D21=0,
        IF($K$6=1,VLOOKUP(B21,SOURCE!$D$1:$I$2329,3,0),
        IF($K$6=2,VLOOKUP(B21,SOURCE!$D$1:$I$2329,4,0),
        IF($K$6=3,VLOOKUP(B21,SOURCE!$D$1:$I$2329,5,0),
        VLOOKUP(B21,SOURCE!$D$1:$I$2329,6,0)))),
    IF(D21=1,VLOOKUP(B21,SOURCE!$D$1:$I$2329,3,0),
    IF(D21=2,VLOOKUP(B21,SOURCE!$D$1:$I$2329,4,0),
    IF(D21=3,VLOOKUP(B21,SOURCE!$D$1:$I$2329,5,0),
    VLOOKUP(B21,SOURCE!$D$1:$I$2329,6,0))))),
"")</f>
        <v/>
      </c>
      <c r="D21" s="42">
        <v>0</v>
      </c>
      <c r="F21" s="53">
        <f>IF(Table1[[#This Row],[STAFF CODE]]=0,0,IF(Table1[[#This Row],[STAFF CODE]]=$K$6,0,1))</f>
        <v>0</v>
      </c>
    </row>
    <row r="22" spans="1:6">
      <c r="A22" s="86" t="str" cm="1">
        <f t="array" ref="A22">IF(Table1[[#This Row],[TOPIC LIST]]="","",INT((ROW()-3)/WORK_PLACE!$I$2+1) &amp; INDEX({"I","II","III","IV","V","VI","VII","VIII","IX","X"}, MOD(ROW()-3, WORK_PLACE!$I$2)+1))</f>
        <v/>
      </c>
      <c r="B22" s="45"/>
      <c r="C22" t="str">
        <f>IFERROR(
    IF(D22=0,
        IF($K$6=1,VLOOKUP(B22,SOURCE!$D$1:$I$2329,3,0),
        IF($K$6=2,VLOOKUP(B22,SOURCE!$D$1:$I$2329,4,0),
        IF($K$6=3,VLOOKUP(B22,SOURCE!$D$1:$I$2329,5,0),
        VLOOKUP(B22,SOURCE!$D$1:$I$2329,6,0)))),
    IF(D22=1,VLOOKUP(B22,SOURCE!$D$1:$I$2329,3,0),
    IF(D22=2,VLOOKUP(B22,SOURCE!$D$1:$I$2329,4,0),
    IF(D22=3,VLOOKUP(B22,SOURCE!$D$1:$I$2329,5,0),
    VLOOKUP(B22,SOURCE!$D$1:$I$2329,6,0))))),
"")</f>
        <v/>
      </c>
      <c r="D22" s="42">
        <v>0</v>
      </c>
      <c r="F22" s="53">
        <f>IF(Table1[[#This Row],[STAFF CODE]]=0,0,IF(Table1[[#This Row],[STAFF CODE]]=$K$6,0,1))</f>
        <v>0</v>
      </c>
    </row>
    <row r="23" spans="1:6">
      <c r="A23" s="86" t="str" cm="1">
        <f t="array" ref="A23">IF(Table1[[#This Row],[TOPIC LIST]]="","",INT((ROW()-3)/WORK_PLACE!$I$2+1) &amp; INDEX({"I","II","IIŉ","IV","V","VI","VII","VIII","IX","X"}, MOD(ROW()-3, WORK_PLACE!$I$2)+1))</f>
        <v/>
      </c>
      <c r="B23" s="45"/>
      <c r="C23" t="str">
        <f>IFERROR(
    IF(D23=0,
        IF($K$6=1,VLOOKUP(B23,SOURCE!$D$1:$I$2329,3,0),
        IF($K$6=2,VLOOKUP(B23,SOURCE!$D$1:$I$2329,4,0),
        IF($K$6=3,VLOOKUP(B23,SOURCE!$D$1:$I$2329,5,0),
        VLOOKUP(B23,SOURCE!$D$1:$I$2329,6,0)))),
    IF(D23=1,VLOOKUP(B23,SOURCE!$D$1:$I$2329,3,0),
    IF(D23=2,VLOOKUP(B23,SOURCE!$D$1:$I$2329,4,0),
    IF(D23=3,VLOOKUP(B23,SOURCE!$D$1:$I$2329,5,0),
    VLOOKUP(B23,SOURCE!$D$1:$I$2329,6,0))))),
"")</f>
        <v/>
      </c>
      <c r="D23" s="42">
        <v>0</v>
      </c>
      <c r="F23" s="53">
        <f>IF(Table1[[#This Row],[STAFF CODE]]=0,0,IF(Table1[[#This Row],[STAFF CODE]]=$K$6,0,1))</f>
        <v>0</v>
      </c>
    </row>
    <row r="24" spans="1:6">
      <c r="A24" s="86" t="str" cm="1">
        <f t="array" ref="A24">IF(Table1[[#This Row],[TOPIC LIST]]="","",INT((ROW()-3)/WORK_PLACE!$I$2+1) &amp; INDEX({"I","II","III","IV","V","VI","VII","VIII","IX","X"}, MOD(ROW()-3, WORK_PLACE!$I$2)+1))</f>
        <v/>
      </c>
      <c r="B24" s="45"/>
      <c r="C24" t="str">
        <f>IFERROR(
    IF(D24=0,
        IF($K$6=1,VLOOKUP(B24,SOURCE!$D$1:$I$2329,3,0),
        IF($K$6=2,VLOOKUP(B24,SOURCE!$D$1:$I$2329,4,0),
        IF($K$6=3,VLOOKUP(B24,SOURCE!$D$1:$I$2329,5,0),
        VLOOKUP(B24,SOURCE!$D$1:$I$2329,6,0)))),
    IF(D24=1,VLOOKUP(B24,SOURCE!$D$1:$I$2329,3,0),
    IF(D24=2,VLOOKUP(B24,SOURCE!$D$1:$I$2329,4,0),
    IF(D24=3,VLOOKUP(B24,SOURCE!$D$1:$I$2329,5,0),
    VLOOKUP(B24,SOURCE!$D$1:$I$2329,6,0))))),
"")</f>
        <v/>
      </c>
      <c r="D24" s="42">
        <v>0</v>
      </c>
      <c r="F24" s="53">
        <f>IF(Table1[[#This Row],[STAFF CODE]]=0,0,IF(Table1[[#This Row],[STAFF CODE]]=$K$6,0,1))</f>
        <v>0</v>
      </c>
    </row>
    <row r="25" spans="1:6">
      <c r="A25" s="86" t="str" cm="1">
        <f t="array" ref="A25">IF(Table1[[#This Row],[TOPIC LIST]]="","",INT((ROW()-3)/WORK_PLACE!$I$2+1) &amp; INDEX({"I","II","IIŉ","IV","V","VI","VII","VIII","IX","X"}, MOD(ROW()-3, WORK_PLACE!$I$2)+1))</f>
        <v/>
      </c>
      <c r="B25" s="45"/>
      <c r="C25" t="str">
        <f>IFERROR(
    IF(D25=0,
        IF($K$6=1,VLOOKUP(B25,SOURCE!$D$1:$I$2329,3,0),
        IF($K$6=2,VLOOKUP(B25,SOURCE!$D$1:$I$2329,4,0),
        IF($K$6=3,VLOOKUP(B25,SOURCE!$D$1:$I$2329,5,0),
        VLOOKUP(B25,SOURCE!$D$1:$I$2329,6,0)))),
    IF(D25=1,VLOOKUP(B25,SOURCE!$D$1:$I$2329,3,0),
    IF(D25=2,VLOOKUP(B25,SOURCE!$D$1:$I$2329,4,0),
    IF(D25=3,VLOOKUP(B25,SOURCE!$D$1:$I$2329,5,0),
    VLOOKUP(B25,SOURCE!$D$1:$I$2329,6,0))))),
"")</f>
        <v/>
      </c>
      <c r="D25" s="42">
        <v>0</v>
      </c>
      <c r="F25" s="53">
        <f>IF(Table1[[#This Row],[STAFF CODE]]=0,0,IF(Table1[[#This Row],[STAFF CODE]]=$K$6,0,1))</f>
        <v>0</v>
      </c>
    </row>
    <row r="26" spans="1:6">
      <c r="A26" s="86" t="str" cm="1">
        <f t="array" ref="A26">IF(Table1[[#This Row],[TOPIC LIST]]="","",INT((ROW()-3)/WORK_PLACE!$I$2+1) &amp; INDEX({"I","II","IIŉ","IV","V","VI","VII","VIII","IX","X"}, MOD(ROW()-3, WORK_PLACE!$I$2)+1))</f>
        <v/>
      </c>
      <c r="B26" s="45"/>
      <c r="C26" t="str">
        <f>IFERROR(
    IF(D26=0,
        IF($K$6=1,VLOOKUP(B26,SOURCE!$D$1:$I$2329,3,0),
        IF($K$6=2,VLOOKUP(B26,SOURCE!$D$1:$I$2329,4,0),
        IF($K$6=3,VLOOKUP(B26,SOURCE!$D$1:$I$2329,5,0),
        VLOOKUP(B26,SOURCE!$D$1:$I$2329,6,0)))),
    IF(D26=1,VLOOKUP(B26,SOURCE!$D$1:$I$2329,3,0),
    IF(D26=2,VLOOKUP(B26,SOURCE!$D$1:$I$2329,4,0),
    IF(D26=3,VLOOKUP(B26,SOURCE!$D$1:$I$2329,5,0),
    VLOOKUP(B26,SOURCE!$D$1:$I$2329,6,0))))),
"")</f>
        <v/>
      </c>
      <c r="D26" s="42">
        <v>0</v>
      </c>
      <c r="F26" s="53">
        <f>IF(Table1[[#This Row],[STAFF CODE]]=0,0,IF(Table1[[#This Row],[STAFF CODE]]=$K$6,0,1))</f>
        <v>0</v>
      </c>
    </row>
    <row r="27" spans="1:6">
      <c r="A27" s="86" t="str" cm="1">
        <f t="array" ref="A27">IF(Table1[[#This Row],[TOPIC LIST]]="","",INT((ROW()-3)/WORK_PLACE!$I$2+1) &amp; INDEX({"I","II","III","IV","V","VI","VII","VIII","IX","X"}, MOD(ROW()-3, WORK_PLACE!$I$2)+1))</f>
        <v/>
      </c>
      <c r="B27" s="45"/>
      <c r="C27" t="str">
        <f>IFERROR(
    IF(D27=0,
        IF($K$6=1,VLOOKUP(B27,SOURCE!$D$1:$I$2329,3,0),
        IF($K$6=2,VLOOKUP(B27,SOURCE!$D$1:$I$2329,4,0),
        IF($K$6=3,VLOOKUP(B27,SOURCE!$D$1:$I$2329,5,0),
        VLOOKUP(B27,SOURCE!$D$1:$I$2329,6,0)))),
    IF(D27=1,VLOOKUP(B27,SOURCE!$D$1:$I$2329,3,0),
    IF(D27=2,VLOOKUP(B27,SOURCE!$D$1:$I$2329,4,0),
    IF(D27=3,VLOOKUP(B27,SOURCE!$D$1:$I$2329,5,0),
    VLOOKUP(B27,SOURCE!$D$1:$I$2329,6,0))))),
"")</f>
        <v/>
      </c>
      <c r="D27" s="42">
        <v>0</v>
      </c>
      <c r="F27" s="53">
        <f>IF(Table1[[#This Row],[STAFF CODE]]=0,0,IF(Table1[[#This Row],[STAFF CODE]]=$K$6,0,1))</f>
        <v>0</v>
      </c>
    </row>
    <row r="28" spans="1:6">
      <c r="A28" s="86" t="str" cm="1">
        <f t="array" ref="A28">IF(Table1[[#This Row],[TOPIC LIST]]="","",INT((ROW()-3)/WORK_PLACE!$I$2+1) &amp; INDEX({"I","II","III","IV","V","VI","VII","VIII","IX","X"}, MOD(ROW()-3, WORK_PLACE!$I$2)+1))</f>
        <v/>
      </c>
      <c r="B28" s="45"/>
      <c r="C28" t="str">
        <f>IFERROR(
    IF(D28=0,
        IF($K$6=1,VLOOKUP(B28,SOURCE!$D$1:$I$2329,3,0),
        IF($K$6=2,VLOOKUP(B28,SOURCE!$D$1:$I$2329,4,0),
        IF($K$6=3,VLOOKUP(B28,SOURCE!$D$1:$I$2329,5,0),
        VLOOKUP(B28,SOURCE!$D$1:$I$2329,6,0)))),
    IF(D28=1,VLOOKUP(B28,SOURCE!$D$1:$I$2329,3,0),
    IF(D28=2,VLOOKUP(B28,SOURCE!$D$1:$I$2329,4,0),
    IF(D28=3,VLOOKUP(B28,SOURCE!$D$1:$I$2329,5,0),
    VLOOKUP(B28,SOURCE!$D$1:$I$2329,6,0))))),
"")</f>
        <v/>
      </c>
      <c r="D28" s="42">
        <v>0</v>
      </c>
      <c r="F28" s="53">
        <f>IF(Table1[[#This Row],[STAFF CODE]]=0,0,IF(Table1[[#This Row],[STAFF CODE]]=$K$6,0,1))</f>
        <v>0</v>
      </c>
    </row>
    <row r="29" spans="1:6">
      <c r="A29" s="86" t="str" cm="1">
        <f t="array" ref="A29">IF(Table1[[#This Row],[TOPIC LIST]]="","",INT((ROW()-3)/WORK_PLACE!$I$2+1) &amp; INDEX({"I","II","IIŉ","IV","V","VI","VII","VIII","IX","X"}, MOD(ROW()-3, WORK_PLACE!$I$2)+1))</f>
        <v/>
      </c>
      <c r="B29" s="45"/>
      <c r="C29" t="str">
        <f>IFERROR(
    IF(D29=0,
        IF($K$6=1,VLOOKUP(B29,SOURCE!$D$1:$I$2329,3,0),
        IF($K$6=2,VLOOKUP(B29,SOURCE!$D$1:$I$2329,4,0),
        IF($K$6=3,VLOOKUP(B29,SOURCE!$D$1:$I$2329,5,0),
        VLOOKUP(B29,SOURCE!$D$1:$I$2329,6,0)))),
    IF(D29=1,VLOOKUP(B29,SOURCE!$D$1:$I$2329,3,0),
    IF(D29=2,VLOOKUP(B29,SOURCE!$D$1:$I$2329,4,0),
    IF(D29=3,VLOOKUP(B29,SOURCE!$D$1:$I$2329,5,0),
    VLOOKUP(B29,SOURCE!$D$1:$I$2329,6,0))))),
"")</f>
        <v/>
      </c>
      <c r="D29" s="42">
        <v>0</v>
      </c>
      <c r="F29" s="53">
        <f>IF(Table1[[#This Row],[STAFF CODE]]=0,0,IF(Table1[[#This Row],[STAFF CODE]]=$K$6,0,1))</f>
        <v>0</v>
      </c>
    </row>
    <row r="30" spans="1:6">
      <c r="A30" s="86" t="str" cm="1">
        <f t="array" ref="A30">IF(Table1[[#This Row],[TOPIC LIST]]="","",INT((ROW()-3)/WORK_PLACE!$I$2+1) &amp; INDEX({"I","II","III","IV","V","VI","VII","VIII","IX","X"}, MOD(ROW()-3, WORK_PLACE!$I$2)+1))</f>
        <v/>
      </c>
      <c r="B30" s="45"/>
      <c r="C30" t="str">
        <f>IFERROR(
    IF(D30=0,
        IF($K$6=1,VLOOKUP(B30,SOURCE!$D$1:$I$2329,3,0),
        IF($K$6=2,VLOOKUP(B30,SOURCE!$D$1:$I$2329,4,0),
        IF($K$6=3,VLOOKUP(B30,SOURCE!$D$1:$I$2329,5,0),
        VLOOKUP(B30,SOURCE!$D$1:$I$2329,6,0)))),
    IF(D30=1,VLOOKUP(B30,SOURCE!$D$1:$I$2329,3,0),
    IF(D30=2,VLOOKUP(B30,SOURCE!$D$1:$I$2329,4,0),
    IF(D30=3,VLOOKUP(B30,SOURCE!$D$1:$I$2329,5,0),
    VLOOKUP(B30,SOURCE!$D$1:$I$2329,6,0))))),
"")</f>
        <v/>
      </c>
      <c r="D30" s="42">
        <v>0</v>
      </c>
      <c r="F30" s="53">
        <f>IF(Table1[[#This Row],[STAFF CODE]]=0,0,IF(Table1[[#This Row],[STAFF CODE]]=$K$6,0,1))</f>
        <v>0</v>
      </c>
    </row>
    <row r="31" spans="1:6">
      <c r="A31" s="86" t="str" cm="1">
        <f t="array" ref="A31">IF(Table1[[#This Row],[TOPIC LIST]]="","",INT((ROW()-3)/WORK_PLACE!$I$2+1) &amp; INDEX({"I","II","III","IV","V","VI","VII","VIII","IX","X"}, MOD(ROW()-3, WORK_PLACE!$I$2)+1))</f>
        <v/>
      </c>
      <c r="B31" s="45"/>
      <c r="C31" t="str">
        <f>IFERROR(
    IF(D31=0,
        IF($K$6=1,VLOOKUP(B31,SOURCE!$D$1:$I$2329,3,0),
        IF($K$6=2,VLOOKUP(B31,SOURCE!$D$1:$I$2329,4,0),
        IF($K$6=3,VLOOKUP(B31,SOURCE!$D$1:$I$2329,5,0),
        VLOOKUP(B31,SOURCE!$D$1:$I$2329,6,0)))),
    IF(D31=1,VLOOKUP(B31,SOURCE!$D$1:$I$2329,3,0),
    IF(D31=2,VLOOKUP(B31,SOURCE!$D$1:$I$2329,4,0),
    IF(D31=3,VLOOKUP(B31,SOURCE!$D$1:$I$2329,5,0),
    VLOOKUP(B31,SOURCE!$D$1:$I$2329,6,0))))),
"")</f>
        <v/>
      </c>
      <c r="D31" s="42">
        <v>0</v>
      </c>
      <c r="F31" s="53">
        <f>IF(Table1[[#This Row],[STAFF CODE]]=0,0,IF(Table1[[#This Row],[STAFF CODE]]=$K$6,0,1))</f>
        <v>0</v>
      </c>
    </row>
    <row r="32" spans="1:6">
      <c r="A32" s="86" t="str" cm="1">
        <f t="array" ref="A32">IF(Table1[[#This Row],[TOPIC LIST]]="","",INT((ROW()-3)/WORK_PLACE!$I$2+1) &amp; INDEX({"I","II","III","IV","V","VI","VII","VIII","IX","X"}, MOD(ROW()-3, WORK_PLACE!$I$2)+1))</f>
        <v/>
      </c>
      <c r="B32" s="45"/>
      <c r="C32" t="str">
        <f>IFERROR(
    IF(D32=0,
        IF($K$6=1,VLOOKUP(B32,SOURCE!$D$1:$I$2329,3,0),
        IF($K$6=2,VLOOKUP(B32,SOURCE!$D$1:$I$2329,4,0),
        IF($K$6=3,VLOOKUP(B32,SOURCE!$D$1:$I$2329,5,0),
        VLOOKUP(B32,SOURCE!$D$1:$I$2329,6,0)))),
    IF(D32=1,VLOOKUP(B32,SOURCE!$D$1:$I$2329,3,0),
    IF(D32=2,VLOOKUP(B32,SOURCE!$D$1:$I$2329,4,0),
    IF(D32=3,VLOOKUP(B32,SOURCE!$D$1:$I$2329,5,0),
    VLOOKUP(B32,SOURCE!$D$1:$I$2329,6,0))))),
"")</f>
        <v/>
      </c>
      <c r="D32" s="42">
        <v>0</v>
      </c>
      <c r="F32" s="53">
        <f>IF(Table1[[#This Row],[STAFF CODE]]=0,0,IF(Table1[[#This Row],[STAFF CODE]]=$K$6,0,1))</f>
        <v>0</v>
      </c>
    </row>
    <row r="33" spans="1:8">
      <c r="A33" s="86" t="str" cm="1">
        <f t="array" ref="A33">IF(Table1[[#This Row],[TOPIC LIST]]="","",INT((ROW()-3)/WORK_PLACE!$I$2+1) &amp; INDEX({"I","II","III","IV","V","VI","VII","VIII","IX","X"}, MOD(ROW()-3, WORK_PLACE!$I$2)+1))</f>
        <v/>
      </c>
      <c r="B33" s="45"/>
      <c r="C33" t="str">
        <f>IFERROR(
    IF(D33=0,
        IF($K$6=1,VLOOKUP(B33,SOURCE!$D$1:$I$2329,3,0),
        IF($K$6=2,VLOOKUP(B33,SOURCE!$D$1:$I$2329,4,0),
        IF($K$6=3,VLOOKUP(B33,SOURCE!$D$1:$I$2329,5,0),
        VLOOKUP(B33,SOURCE!$D$1:$I$2329,6,0)))),
    IF(D33=1,VLOOKUP(B33,SOURCE!$D$1:$I$2329,3,0),
    IF(D33=2,VLOOKUP(B33,SOURCE!$D$1:$I$2329,4,0),
    IF(D33=3,VLOOKUP(B33,SOURCE!$D$1:$I$2329,5,0),
    VLOOKUP(B33,SOURCE!$D$1:$I$2329,6,0))))),
"")</f>
        <v/>
      </c>
      <c r="D33" s="42">
        <v>0</v>
      </c>
      <c r="F33" s="53">
        <f>IF(Table1[[#This Row],[STAFF CODE]]=0,0,IF(Table1[[#This Row],[STAFF CODE]]=$K$6,0,1))</f>
        <v>0</v>
      </c>
    </row>
    <row r="34" spans="1:8">
      <c r="A34" s="86" t="str" cm="1">
        <f t="array" ref="A34">IF(Table1[[#This Row],[TOPIC LIST]]="","",INT((ROW()-3)/WORK_PLACE!$I$2+1) &amp; INDEX({"I","II","IIŉ","IV","V","VI","VII","VIII","IX","X"}, MOD(ROW()-3, WORK_PLACE!$I$2)+1))</f>
        <v/>
      </c>
      <c r="B34" s="45"/>
      <c r="C34" t="str">
        <f>IFERROR(
    IF(D34=0,
        IF($K$6=1,VLOOKUP(B34,SOURCE!$D$1:$I$2329,3,0),
        IF($K$6=2,VLOOKUP(B34,SOURCE!$D$1:$I$2329,4,0),
        IF($K$6=3,VLOOKUP(B34,SOURCE!$D$1:$I$2329,5,0),
        VLOOKUP(B34,SOURCE!$D$1:$I$2329,6,0)))),
    IF(D34=1,VLOOKUP(B34,SOURCE!$D$1:$I$2329,3,0),
    IF(D34=2,VLOOKUP(B34,SOURCE!$D$1:$I$2329,4,0),
    IF(D34=3,VLOOKUP(B34,SOURCE!$D$1:$I$2329,5,0),
    VLOOKUP(B34,SOURCE!$D$1:$I$2329,6,0))))),
"")</f>
        <v/>
      </c>
      <c r="D34" s="42">
        <v>0</v>
      </c>
      <c r="F34" s="53">
        <f>IF(Table1[[#This Row],[STAFF CODE]]=0,0,IF(Table1[[#This Row],[STAFF CODE]]=$K$6,0,1))</f>
        <v>0</v>
      </c>
    </row>
    <row r="35" spans="1:8">
      <c r="A35" s="86" t="str" cm="1">
        <f t="array" ref="A35">IF(Table1[[#This Row],[TOPIC LIST]]="","",INT((ROW()-3)/WORK_PLACE!$I$2+1) &amp; INDEX({"I","II","III","IV","V","VI","VII","VIII","IX","X"}, MOD(ROW()-3, WORK_PLACE!$I$2)+1))</f>
        <v/>
      </c>
      <c r="B35" s="45"/>
      <c r="C35" t="str">
        <f>IFERROR(
    IF(D35=0,
        IF($K$6=1,VLOOKUP(B35,SOURCE!$D$1:$I$2329,3,0),
        IF($K$6=2,VLOOKUP(B35,SOURCE!$D$1:$I$2329,4,0),
        IF($K$6=3,VLOOKUP(B35,SOURCE!$D$1:$I$2329,5,0),
        VLOOKUP(B35,SOURCE!$D$1:$I$2329,6,0)))),
    IF(D35=1,VLOOKUP(B35,SOURCE!$D$1:$I$2329,3,0),
    IF(D35=2,VLOOKUP(B35,SOURCE!$D$1:$I$2329,4,0),
    IF(D35=3,VLOOKUP(B35,SOURCE!$D$1:$I$2329,5,0),
    VLOOKUP(B35,SOURCE!$D$1:$I$2329,6,0))))),
"")</f>
        <v/>
      </c>
      <c r="D35" s="42">
        <v>0</v>
      </c>
      <c r="F35" s="53">
        <f>IF(Table1[[#This Row],[STAFF CODE]]=0,0,IF(Table1[[#This Row],[STAFF CODE]]=$K$6,0,1))</f>
        <v>0</v>
      </c>
    </row>
    <row r="36" spans="1:8">
      <c r="A36" s="86" t="str" cm="1">
        <f t="array" ref="A36">IF(Table1[[#This Row],[TOPIC LIST]]="","",INT((ROW()-3)/WORK_PLACE!$I$2+1) &amp; INDEX({"I","II","III","IV","V","VI","VII","VIII","IX","X"}, MOD(ROW()-3, WORK_PLACE!$I$2)+1))</f>
        <v/>
      </c>
      <c r="B36" s="45"/>
      <c r="C36" t="str">
        <f>IFERROR(
    IF(D36=0,
        IF($K$6=1,VLOOKUP(B36,SOURCE!$D$1:$I$2329,3,0),
        IF($K$6=2,VLOOKUP(B36,SOURCE!$D$1:$I$2329,4,0),
        IF($K$6=3,VLOOKUP(B36,SOURCE!$D$1:$I$2329,5,0),
        VLOOKUP(B36,SOURCE!$D$1:$I$2329,6,0)))),
    IF(D36=1,VLOOKUP(B36,SOURCE!$D$1:$I$2329,3,0),
    IF(D36=2,VLOOKUP(B36,SOURCE!$D$1:$I$2329,4,0),
    IF(D36=3,VLOOKUP(B36,SOURCE!$D$1:$I$2329,5,0),
    VLOOKUP(B36,SOURCE!$D$1:$I$2329,6,0))))),
"")</f>
        <v/>
      </c>
      <c r="D36" s="42">
        <v>0</v>
      </c>
      <c r="F36" s="53">
        <f>IF(Table1[[#This Row],[STAFF CODE]]=0,0,IF(Table1[[#This Row],[STAFF CODE]]=$K$6,0,1))</f>
        <v>0</v>
      </c>
    </row>
    <row r="37" spans="1:8">
      <c r="A37" s="86" t="str" cm="1">
        <f t="array" ref="A37">IF(Table1[[#This Row],[TOPIC LIST]]="","",INT((ROW()-3)/WORK_PLACE!$I$2+1) &amp; INDEX({"I","II","IIŉ","IV","V","VI","VII","VIII","IX","X"}, MOD(ROW()-3, WORK_PLACE!$I$2)+1))</f>
        <v/>
      </c>
      <c r="B37" s="45"/>
      <c r="C37" t="str">
        <f>IFERROR(
    IF(D37=0,
        IF($K$6=1,VLOOKUP(B37,SOURCE!$D$1:$I$2329,3,0),
        IF($K$6=2,VLOOKUP(B37,SOURCE!$D$1:$I$2329,4,0),
        IF($K$6=3,VLOOKUP(B37,SOURCE!$D$1:$I$2329,5,0),
        VLOOKUP(B37,SOURCE!$D$1:$I$2329,6,0)))),
    IF(D37=1,VLOOKUP(B37,SOURCE!$D$1:$I$2329,3,0),
    IF(D37=2,VLOOKUP(B37,SOURCE!$D$1:$I$2329,4,0),
    IF(D37=3,VLOOKUP(B37,SOURCE!$D$1:$I$2329,5,0),
    VLOOKUP(B37,SOURCE!$D$1:$I$2329,6,0))))),
"")</f>
        <v/>
      </c>
      <c r="D37" s="42">
        <v>0</v>
      </c>
      <c r="F37" s="53">
        <f>IF(Table1[[#This Row],[STAFF CODE]]=0,0,IF(Table1[[#This Row],[STAFF CODE]]=$K$6,0,1))</f>
        <v>0</v>
      </c>
    </row>
    <row r="38" spans="1:8">
      <c r="A38" s="86" t="str" cm="1">
        <f t="array" ref="A38">IF(Table1[[#This Row],[TOPIC LIST]]="","",INT((ROW()-3)/WORK_PLACE!$I$2+1) &amp; INDEX({"I","II","III","IV","V","VI","VII","VIII","IX","X"}, MOD(ROW()-3, WORK_PLACE!$I$2)+1))</f>
        <v/>
      </c>
      <c r="B38" s="45"/>
      <c r="C38" t="str">
        <f>IFERROR(
    IF(D38=0,
        IF($K$6=1,VLOOKUP(B38,SOURCE!$D$1:$I$2329,3,0),
        IF($K$6=2,VLOOKUP(B38,SOURCE!$D$1:$I$2329,4,0),
        IF($K$6=3,VLOOKUP(B38,SOURCE!$D$1:$I$2329,5,0),
        VLOOKUP(B38,SOURCE!$D$1:$I$2329,6,0)))),
    IF(D38=1,VLOOKUP(B38,SOURCE!$D$1:$I$2329,3,0),
    IF(D38=2,VLOOKUP(B38,SOURCE!$D$1:$I$2329,4,0),
    IF(D38=3,VLOOKUP(B38,SOURCE!$D$1:$I$2329,5,0),
    VLOOKUP(B38,SOURCE!$D$1:$I$2329,6,0))))),
"")</f>
        <v/>
      </c>
      <c r="D38" s="42">
        <v>0</v>
      </c>
      <c r="F38" s="53">
        <f>IF(Table1[[#This Row],[STAFF CODE]]=0,0,IF(Table1[[#This Row],[STAFF CODE]]=$K$6,0,1))</f>
        <v>0</v>
      </c>
    </row>
    <row r="39" spans="1:8">
      <c r="A39" s="86" t="str" cm="1">
        <f t="array" ref="A39">IF(Table1[[#This Row],[TOPIC LIST]]="","",INT((ROW()-3)/WORK_PLACE!$I$2+1) &amp; INDEX({"I","II","III","IV","V","VI","VII","VIII","IX","X"}, MOD(ROW()-3, WORK_PLACE!$I$2)+1))</f>
        <v/>
      </c>
      <c r="B39" s="45"/>
      <c r="C39" t="str">
        <f>IFERROR(
    IF(D39=0,
        IF($K$6=1,VLOOKUP(B39,SOURCE!$D$1:$I$2329,3,0),
        IF($K$6=2,VLOOKUP(B39,SOURCE!$D$1:$I$2329,4,0),
        IF($K$6=3,VLOOKUP(B39,SOURCE!$D$1:$I$2329,5,0),
        VLOOKUP(B39,SOURCE!$D$1:$I$2329,6,0)))),
    IF(D39=1,VLOOKUP(B39,SOURCE!$D$1:$I$2329,3,0),
    IF(D39=2,VLOOKUP(B39,SOURCE!$D$1:$I$2329,4,0),
    IF(D39=3,VLOOKUP(B39,SOURCE!$D$1:$I$2329,5,0),
    VLOOKUP(B39,SOURCE!$D$1:$I$2329,6,0))))),
"")</f>
        <v/>
      </c>
      <c r="D39" s="42">
        <v>0</v>
      </c>
      <c r="F39" s="53">
        <f>IF(Table1[[#This Row],[STAFF CODE]]=0,0,IF(Table1[[#This Row],[STAFF CODE]]=$K$6,0,1))</f>
        <v>0</v>
      </c>
    </row>
    <row r="40" spans="1:8">
      <c r="A40" s="86" t="str" cm="1">
        <f t="array" ref="A40">IF(Table1[[#This Row],[TOPIC LIST]]="","",INT((ROW()-3)/WORK_PLACE!$I$2+1) &amp; INDEX({"I","II","III","IV","V","VI","VII","VIII","IX","X"}, MOD(ROW()-3, WORK_PLACE!$I$2)+1))</f>
        <v/>
      </c>
      <c r="B40" s="45"/>
      <c r="C40" t="str">
        <f>IFERROR(
    IF(D40=0,
        IF($K$6=1,VLOOKUP(B40,SOURCE!$D$1:$I$2329,3,0),
        IF($K$6=2,VLOOKUP(B40,SOURCE!$D$1:$I$2329,4,0),
        IF($K$6=3,VLOOKUP(B40,SOURCE!$D$1:$I$2329,5,0),
        VLOOKUP(B40,SOURCE!$D$1:$I$2329,6,0)))),
    IF(D40=1,VLOOKUP(B40,SOURCE!$D$1:$I$2329,3,0),
    IF(D40=2,VLOOKUP(B40,SOURCE!$D$1:$I$2329,4,0),
    IF(D40=3,VLOOKUP(B40,SOURCE!$D$1:$I$2329,5,0),
    VLOOKUP(B40,SOURCE!$D$1:$I$2329,6,0))))),
"")</f>
        <v/>
      </c>
      <c r="D40" s="42">
        <v>0</v>
      </c>
      <c r="F40" s="53">
        <f>IF(Table1[[#This Row],[STAFF CODE]]=0,0,IF(Table1[[#This Row],[STAFF CODE]]=$K$6,0,1))</f>
        <v>0</v>
      </c>
    </row>
    <row r="41" spans="1:8">
      <c r="A41" s="86" t="str" cm="1">
        <f t="array" ref="A41">IF(Table1[[#This Row],[TOPIC LIST]]="","",INT((ROW()-3)/WORK_PLACE!$I$2+1) &amp; INDEX({"I","II","IIŉ","IV","V","VI","VII","VIII","IX","X"}, MOD(ROW()-3, WORK_PLACE!$I$2)+1))</f>
        <v/>
      </c>
      <c r="B41" s="45"/>
      <c r="C41" t="str">
        <f>IFERROR(
    IF(D41=0,
        IF($K$6=1,VLOOKUP(B41,SOURCE!$D$1:$I$2329,3,0),
        IF($K$6=2,VLOOKUP(B41,SOURCE!$D$1:$I$2329,4,0),
        IF($K$6=3,VLOOKUP(B41,SOURCE!$D$1:$I$2329,5,0),
        VLOOKUP(B41,SOURCE!$D$1:$I$2329,6,0)))),
    IF(D41=1,VLOOKUP(B41,SOURCE!$D$1:$I$2329,3,0),
    IF(D41=2,VLOOKUP(B41,SOURCE!$D$1:$I$2329,4,0),
    IF(D41=3,VLOOKUP(B41,SOURCE!$D$1:$I$2329,5,0),
    VLOOKUP(B41,SOURCE!$D$1:$I$2329,6,0))))),
"")</f>
        <v/>
      </c>
      <c r="D41" s="42">
        <v>0</v>
      </c>
      <c r="F41" s="53">
        <f>IF(Table1[[#This Row],[STAFF CODE]]=0,0,IF(Table1[[#This Row],[STAFF CODE]]=$K$6,0,1))</f>
        <v>0</v>
      </c>
    </row>
    <row r="42" spans="1:8">
      <c r="A42" s="86" t="str" cm="1">
        <f t="array" ref="A42">IF(Table1[[#This Row],[TOPIC LIST]]="","",INT((ROW()-3)/WORK_PLACE!$I$2+1) &amp; INDEX({"I","II","IIŉ","IV","V","VI","VII","VIII","IX","X"}, MOD(ROW()-3, WORK_PLACE!$I$2)+1))</f>
        <v/>
      </c>
      <c r="B42" s="45"/>
      <c r="C42" t="str">
        <f>IFERROR(
    IF(D42=0,
        IF($K$6=1,VLOOKUP(B42,SOURCE!$D$1:$I$2329,3,0),
        IF($K$6=2,VLOOKUP(B42,SOURCE!$D$1:$I$2329,4,0),
        IF($K$6=3,VLOOKUP(B42,SOURCE!$D$1:$I$2329,5,0),
        VLOOKUP(B42,SOURCE!$D$1:$I$2329,6,0)))),
    IF(D42=1,VLOOKUP(B42,SOURCE!$D$1:$I$2329,3,0),
    IF(D42=2,VLOOKUP(B42,SOURCE!$D$1:$I$2329,4,0),
    IF(D42=3,VLOOKUP(B42,SOURCE!$D$1:$I$2329,5,0),
    VLOOKUP(B42,SOURCE!$D$1:$I$2329,6,0))))),
"")</f>
        <v/>
      </c>
      <c r="D42" s="42">
        <v>0</v>
      </c>
      <c r="F42" s="53">
        <f>IF(Table1[[#This Row],[STAFF CODE]]=0,0,IF(Table1[[#This Row],[STAFF CODE]]=$K$6,0,1))</f>
        <v>0</v>
      </c>
      <c r="H42" s="42" t="s">
        <v>269</v>
      </c>
    </row>
    <row r="43" spans="1:8">
      <c r="A43" s="86" t="str" cm="1">
        <f t="array" ref="A43">IF(Table1[[#This Row],[TOPIC LIST]]="","",INT((ROW()-3)/WORK_PLACE!$I$2+1) &amp; INDEX({"I","II","III","IV","V","VI","VII","VIII","IX","X"}, MOD(ROW()-3, WORK_PLACE!$I$2)+1))</f>
        <v/>
      </c>
      <c r="B43" s="45"/>
      <c r="C43" t="str">
        <f>IFERROR(
    IF(D43=0,
        IF($K$6=1,VLOOKUP(B43,SOURCE!$D$1:$I$2329,3,0),
        IF($K$6=2,VLOOKUP(B43,SOURCE!$D$1:$I$2329,4,0),
        IF($K$6=3,VLOOKUP(B43,SOURCE!$D$1:$I$2329,5,0),
        VLOOKUP(B43,SOURCE!$D$1:$I$2329,6,0)))),
    IF(D43=1,VLOOKUP(B43,SOURCE!$D$1:$I$2329,3,0),
    IF(D43=2,VLOOKUP(B43,SOURCE!$D$1:$I$2329,4,0),
    IF(D43=3,VLOOKUP(B43,SOURCE!$D$1:$I$2329,5,0),
    VLOOKUP(B43,SOURCE!$D$1:$I$2329,6,0))))),
"")</f>
        <v/>
      </c>
      <c r="D43" s="42">
        <v>0</v>
      </c>
      <c r="F43" s="53">
        <f>IF(Table1[[#This Row],[STAFF CODE]]=0,0,IF(Table1[[#This Row],[STAFF CODE]]=$K$6,0,1))</f>
        <v>0</v>
      </c>
    </row>
    <row r="44" spans="1:8">
      <c r="A44" s="86" t="str" cm="1">
        <f t="array" ref="A44">IF(Table1[[#This Row],[TOPIC LIST]]="","",INT((ROW()-3)/WORK_PLACE!$I$2+1) &amp; INDEX({"I","II","III","IV","V","VI","VII","VIII","IX","X"}, MOD(ROW()-3, WORK_PLACE!$I$2)+1))</f>
        <v/>
      </c>
      <c r="B44" s="45"/>
      <c r="C44" t="str">
        <f>IFERROR(
    IF(D44=0,
        IF($K$6=1,VLOOKUP(B44,SOURCE!$D$1:$I$2329,3,0),
        IF($K$6=2,VLOOKUP(B44,SOURCE!$D$1:$I$2329,4,0),
        IF($K$6=3,VLOOKUP(B44,SOURCE!$D$1:$I$2329,5,0),
        VLOOKUP(B44,SOURCE!$D$1:$I$2329,6,0)))),
    IF(D44=1,VLOOKUP(B44,SOURCE!$D$1:$I$2329,3,0),
    IF(D44=2,VLOOKUP(B44,SOURCE!$D$1:$I$2329,4,0),
    IF(D44=3,VLOOKUP(B44,SOURCE!$D$1:$I$2329,5,0),
    VLOOKUP(B44,SOURCE!$D$1:$I$2329,6,0))))),
"")</f>
        <v/>
      </c>
      <c r="D44" s="42">
        <v>0</v>
      </c>
      <c r="F44" s="53">
        <f>IF(Table1[[#This Row],[STAFF CODE]]=0,0,IF(Table1[[#This Row],[STAFF CODE]]=$K$6,0,1))</f>
        <v>0</v>
      </c>
    </row>
    <row r="45" spans="1:8">
      <c r="A45" s="86" t="str" cm="1">
        <f t="array" ref="A45">IF(Table1[[#This Row],[TOPIC LIST]]="","",INT((ROW()-3)/WORK_PLACE!$I$2+1) &amp; INDEX({"I","II","IIŉ","IV","V","VI","VII","VIII","IX","X"}, MOD(ROW()-3, WORK_PLACE!$I$2)+1))</f>
        <v/>
      </c>
      <c r="B45" s="45"/>
      <c r="C45" t="str">
        <f>IFERROR(
    IF(D45=0,
        IF($K$6=1,VLOOKUP(B45,SOURCE!$D$1:$I$2329,3,0),
        IF($K$6=2,VLOOKUP(B45,SOURCE!$D$1:$I$2329,4,0),
        IF($K$6=3,VLOOKUP(B45,SOURCE!$D$1:$I$2329,5,0),
        VLOOKUP(B45,SOURCE!$D$1:$I$2329,6,0)))),
    IF(D45=1,VLOOKUP(B45,SOURCE!$D$1:$I$2329,3,0),
    IF(D45=2,VLOOKUP(B45,SOURCE!$D$1:$I$2329,4,0),
    IF(D45=3,VLOOKUP(B45,SOURCE!$D$1:$I$2329,5,0),
    VLOOKUP(B45,SOURCE!$D$1:$I$2329,6,0))))),
"")</f>
        <v/>
      </c>
      <c r="D45" s="42">
        <v>0</v>
      </c>
      <c r="F45" s="53">
        <f>IF(Table1[[#This Row],[STAFF CODE]]=0,0,IF(Table1[[#This Row],[STAFF CODE]]=$K$6,0,1))</f>
        <v>0</v>
      </c>
    </row>
    <row r="46" spans="1:8">
      <c r="A46" s="86" t="str" cm="1">
        <f t="array" ref="A46">IF(Table1[[#This Row],[TOPIC LIST]]="","",INT((ROW()-3)/WORK_PLACE!$I$2+1) &amp; INDEX({"I","II","III","IV","V","VI","VII","VIII","IX","X"}, MOD(ROW()-3, WORK_PLACE!$I$2)+1))</f>
        <v/>
      </c>
      <c r="B46" s="45"/>
      <c r="C46" t="str">
        <f>IFERROR(
    IF(D46=0,
        IF($K$6=1,VLOOKUP(B46,SOURCE!$D$1:$I$2329,3,0),
        IF($K$6=2,VLOOKUP(B46,SOURCE!$D$1:$I$2329,4,0),
        IF($K$6=3,VLOOKUP(B46,SOURCE!$D$1:$I$2329,5,0),
        VLOOKUP(B46,SOURCE!$D$1:$I$2329,6,0)))),
    IF(D46=1,VLOOKUP(B46,SOURCE!$D$1:$I$2329,3,0),
    IF(D46=2,VLOOKUP(B46,SOURCE!$D$1:$I$2329,4,0),
    IF(D46=3,VLOOKUP(B46,SOURCE!$D$1:$I$2329,5,0),
    VLOOKUP(B46,SOURCE!$D$1:$I$2329,6,0))))),
"")</f>
        <v/>
      </c>
      <c r="D46" s="42">
        <v>0</v>
      </c>
      <c r="F46" s="53">
        <f>IF(Table1[[#This Row],[STAFF CODE]]=0,0,IF(Table1[[#This Row],[STAFF CODE]]=$K$6,0,1))</f>
        <v>0</v>
      </c>
    </row>
    <row r="47" spans="1:8">
      <c r="A47" s="86" t="str" cm="1">
        <f t="array" ref="A47">IF(Table1[[#This Row],[TOPIC LIST]]="","",INT((ROW()-3)/WORK_PLACE!$I$2+1) &amp; INDEX({"I","II","III","IV","V","VI","VII","VIII","IX","X"}, MOD(ROW()-3, WORK_PLACE!$I$2)+1))</f>
        <v/>
      </c>
      <c r="B47" s="45"/>
      <c r="C47" t="str">
        <f>IFERROR(
    IF(D47=0,
        IF($K$6=1,VLOOKUP(B47,SOURCE!$D$1:$I$2329,3,0),
        IF($K$6=2,VLOOKUP(B47,SOURCE!$D$1:$I$2329,4,0),
        IF($K$6=3,VLOOKUP(B47,SOURCE!$D$1:$I$2329,5,0),
        VLOOKUP(B47,SOURCE!$D$1:$I$2329,6,0)))),
    IF(D47=1,VLOOKUP(B47,SOURCE!$D$1:$I$2329,3,0),
    IF(D47=2,VLOOKUP(B47,SOURCE!$D$1:$I$2329,4,0),
    IF(D47=3,VLOOKUP(B47,SOURCE!$D$1:$I$2329,5,0),
    VLOOKUP(B47,SOURCE!$D$1:$I$2329,6,0))))),
"")</f>
        <v/>
      </c>
      <c r="D47" s="42">
        <v>0</v>
      </c>
      <c r="F47" s="53">
        <f>IF(Table1[[#This Row],[STAFF CODE]]=0,0,IF(Table1[[#This Row],[STAFF CODE]]=$K$6,0,1))</f>
        <v>0</v>
      </c>
    </row>
    <row r="48" spans="1:8">
      <c r="A48" s="86" t="str" cm="1">
        <f t="array" ref="A48">IF(Table1[[#This Row],[TOPIC LIST]]="","",INT((ROW()-3)/WORK_PLACE!$I$2+1) &amp; INDEX({"I","II","III","IV","V","VI","VII","VIII","IX","X"}, MOD(ROW()-3, WORK_PLACE!$I$2)+1))</f>
        <v/>
      </c>
      <c r="B48" s="45"/>
      <c r="C48" t="str">
        <f>IFERROR(
    IF(D48=0,
        IF($K$6=1,VLOOKUP(B48,SOURCE!$D$1:$I$2329,3,0),
        IF($K$6=2,VLOOKUP(B48,SOURCE!$D$1:$I$2329,4,0),
        IF($K$6=3,VLOOKUP(B48,SOURCE!$D$1:$I$2329,5,0),
        VLOOKUP(B48,SOURCE!$D$1:$I$2329,6,0)))),
    IF(D48=1,VLOOKUP(B48,SOURCE!$D$1:$I$2329,3,0),
    IF(D48=2,VLOOKUP(B48,SOURCE!$D$1:$I$2329,4,0),
    IF(D48=3,VLOOKUP(B48,SOURCE!$D$1:$I$2329,5,0),
    VLOOKUP(B48,SOURCE!$D$1:$I$2329,6,0))))),
"")</f>
        <v/>
      </c>
      <c r="D48" s="42">
        <v>0</v>
      </c>
      <c r="F48" s="53">
        <f>IF(Table1[[#This Row],[STAFF CODE]]=0,0,IF(Table1[[#This Row],[STAFF CODE]]=$K$6,0,1))</f>
        <v>0</v>
      </c>
    </row>
    <row r="49" spans="1:6">
      <c r="A49" s="86" t="str" cm="1">
        <f t="array" ref="A49">IF(Table1[[#This Row],[TOPIC LIST]]="","",INT((ROW()-3)/WORK_PLACE!$I$2+1) &amp; INDEX({"I","II","IIŉ","IV","V","VI","VII","VIII","IX","X"}, MOD(ROW()-3, WORK_PLACE!$I$2)+1))</f>
        <v/>
      </c>
      <c r="B49" s="45"/>
      <c r="C49" t="str">
        <f>IFERROR(
    IF(D49=0,
        IF($K$6=1,VLOOKUP(B49,SOURCE!$D$1:$I$2329,3,0),
        IF($K$6=2,VLOOKUP(B49,SOURCE!$D$1:$I$2329,4,0),
        IF($K$6=3,VLOOKUP(B49,SOURCE!$D$1:$I$2329,5,0),
        VLOOKUP(B49,SOURCE!$D$1:$I$2329,6,0)))),
    IF(D49=1,VLOOKUP(B49,SOURCE!$D$1:$I$2329,3,0),
    IF(D49=2,VLOOKUP(B49,SOURCE!$D$1:$I$2329,4,0),
    IF(D49=3,VLOOKUP(B49,SOURCE!$D$1:$I$2329,5,0),
    VLOOKUP(B49,SOURCE!$D$1:$I$2329,6,0))))),
"")</f>
        <v/>
      </c>
      <c r="D49" s="42">
        <v>0</v>
      </c>
      <c r="F49" s="53">
        <f>IF(Table1[[#This Row],[STAFF CODE]]=0,0,IF(Table1[[#This Row],[STAFF CODE]]=$K$6,0,1))</f>
        <v>0</v>
      </c>
    </row>
    <row r="50" spans="1:6">
      <c r="A50" s="86" t="str" cm="1">
        <f t="array" ref="A50">IF(Table1[[#This Row],[TOPIC LIST]]="","",INT((ROW()-3)/WORK_PLACE!$I$2+1) &amp; INDEX({"I","II","IIŉ","IV","V","VI","VII","VIII","IX","X"}, MOD(ROW()-3, WORK_PLACE!$I$2)+1))</f>
        <v/>
      </c>
      <c r="B50" s="45"/>
      <c r="C50" t="str">
        <f>IFERROR(
    IF(D50=0,
        IF($K$6=1,VLOOKUP(B50,SOURCE!$D$1:$I$2329,3,0),
        IF($K$6=2,VLOOKUP(B50,SOURCE!$D$1:$I$2329,4,0),
        IF($K$6=3,VLOOKUP(B50,SOURCE!$D$1:$I$2329,5,0),
        VLOOKUP(B50,SOURCE!$D$1:$I$2329,6,0)))),
    IF(D50=1,VLOOKUP(B50,SOURCE!$D$1:$I$2329,3,0),
    IF(D50=2,VLOOKUP(B50,SOURCE!$D$1:$I$2329,4,0),
    IF(D50=3,VLOOKUP(B50,SOURCE!$D$1:$I$2329,5,0),
    VLOOKUP(B50,SOURCE!$D$1:$I$2329,6,0))))),
"")</f>
        <v/>
      </c>
      <c r="D50" s="42">
        <v>0</v>
      </c>
      <c r="F50" s="53">
        <f>IF(Table1[[#This Row],[STAFF CODE]]=0,0,IF(Table1[[#This Row],[STAFF CODE]]=$K$6,0,1))</f>
        <v>0</v>
      </c>
    </row>
    <row r="51" spans="1:6">
      <c r="A51" s="86" t="str">
        <f t="array" ref="A51">IF(Table1[[#This Row],[TOPIC LIST]]="","",INT((ROW()-3)/WORK_PLACE!$I$2+1) &amp; INDEX({"I","II","III","IV","V","VI","VII","VIII","IX","X"}, MOD(ROW()-3, WORK_PLACE!$I$2)+1))</f>
        <v/>
      </c>
      <c r="B51" s="45"/>
      <c r="C51" t="str">
        <f>IFERROR(
    IF(D51=0,
        IF($K$6=1,VLOOKUP(B51,SOURCE!$D$1:$I$2329,3,0),
        IF($K$6=2,VLOOKUP(B51,SOURCE!$D$1:$I$2329,4,0),
        IF($K$6=3,VLOOKUP(B51,SOURCE!$D$1:$I$2329,5,0),
        VLOOKUP(B51,SOURCE!$D$1:$I$2329,6,0)))),
    IF(D51=1,VLOOKUP(B51,SOURCE!$D$1:$I$2329,3,0),
    IF(D51=2,VLOOKUP(B51,SOURCE!$D$1:$I$2329,4,0),
    IF(D51=3,VLOOKUP(B51,SOURCE!$D$1:$I$2329,5,0),
    VLOOKUP(B51,SOURCE!$D$1:$I$2329,6,0))))),
"")</f>
        <v/>
      </c>
      <c r="D51" s="42">
        <v>0</v>
      </c>
      <c r="F51" s="53">
        <f>SUM(F3:F50)</f>
        <v>0</v>
      </c>
    </row>
    <row r="52" spans="1:6">
      <c r="A52" s="86" t="str">
        <f t="array" ref="A52">IF(Table1[[#This Row],[TOPIC LIST]]="","",INT((ROW()-3)/WORK_PLACE!$I$2+1) &amp; INDEX({"I","II","III","IV","V","VI","VII","VIII","IX","X"}, MOD(ROW()-3, WORK_PLACE!$I$2)+1))</f>
        <v/>
      </c>
      <c r="B52" s="45"/>
      <c r="C52" t="str">
        <f>IFERROR(
    IF(D52=0,
        IF($K$6=1,VLOOKUP(B52,SOURCE!$D$1:$I$2329,3,0),
        IF($K$6=2,VLOOKUP(B52,SOURCE!$D$1:$I$2329,4,0),
        IF($K$6=3,VLOOKUP(B52,SOURCE!$D$1:$I$2329,5,0),
        VLOOKUP(B52,SOURCE!$D$1:$I$2329,6,0)))),
    IF(D52=1,VLOOKUP(B52,SOURCE!$D$1:$I$2329,3,0),
    IF(D52=2,VLOOKUP(B52,SOURCE!$D$1:$I$2329,4,0),
    IF(D52=3,VLOOKUP(B52,SOURCE!$D$1:$I$2329,5,0),
    VLOOKUP(B52,SOURCE!$D$1:$I$2329,6,0))))),
"")</f>
        <v/>
      </c>
      <c r="D52" s="42">
        <v>0</v>
      </c>
    </row>
    <row r="53" spans="1:6">
      <c r="A53" s="86" t="str">
        <f t="array" ref="A53">IF(Table1[[#This Row],[TOPIC LIST]]="","",INT((ROW()-3)/WORK_PLACE!$I$2+1) &amp; INDEX({"I","II","III","IV","V","VI","VII","VIII","IX","X"}, MOD(ROW()-3, WORK_PLACE!$I$2)+1))</f>
        <v/>
      </c>
      <c r="B53" s="45"/>
      <c r="C53" t="str">
        <f>IFERROR(
    IF(D53=0,
        IF($K$6=1,VLOOKUP(B53,SOURCE!$D$1:$I$2329,3,0),
        IF($K$6=2,VLOOKUP(B53,SOURCE!$D$1:$I$2329,4,0),
        IF($K$6=3,VLOOKUP(B53,SOURCE!$D$1:$I$2329,5,0),
        VLOOKUP(B53,SOURCE!$D$1:$I$2329,6,0)))),
    IF(D53=1,VLOOKUP(B53,SOURCE!$D$1:$I$2329,3,0),
    IF(D53=2,VLOOKUP(B53,SOURCE!$D$1:$I$2329,4,0),
    IF(D53=3,VLOOKUP(B53,SOURCE!$D$1:$I$2329,5,0),
    VLOOKUP(B53,SOURCE!$D$1:$I$2329,6,0))))),
"")</f>
        <v/>
      </c>
      <c r="D53" s="42">
        <v>0</v>
      </c>
    </row>
    <row r="54" spans="1:6">
      <c r="A54" s="86" t="str">
        <f t="array" ref="A54">IF(Table1[[#This Row],[TOPIC LIST]]="","",INT((ROW()-3)/WORK_PLACE!$I$2+1) &amp; INDEX({"I","II","III","IV","V","VI","VII","VIII","IX","X"}, MOD(ROW()-3, WORK_PLACE!$I$2)+1))</f>
        <v/>
      </c>
      <c r="B54" s="45"/>
      <c r="C54" t="str">
        <f>IFERROR(
    IF(D54=0,
        IF($K$6=1,VLOOKUP(B54,SOURCE!$D$1:$I$2329,3,0),
        IF($K$6=2,VLOOKUP(B54,SOURCE!$D$1:$I$2329,4,0),
        IF($K$6=3,VLOOKUP(B54,SOURCE!$D$1:$I$2329,5,0),
        VLOOKUP(B54,SOURCE!$D$1:$I$2329,6,0)))),
    IF(D54=1,VLOOKUP(B54,SOURCE!$D$1:$I$2329,3,0),
    IF(D54=2,VLOOKUP(B54,SOURCE!$D$1:$I$2329,4,0),
    IF(D54=3,VLOOKUP(B54,SOURCE!$D$1:$I$2329,5,0),
    VLOOKUP(B54,SOURCE!$D$1:$I$2329,6,0))))),
"")</f>
        <v/>
      </c>
      <c r="D54" s="42">
        <v>0</v>
      </c>
    </row>
    <row r="55" spans="1:6">
      <c r="A55" s="86" t="str">
        <f t="array" ref="A55">IF(Table1[[#This Row],[TOPIC LIST]]="","",INT((ROW()-3)/WORK_PLACE!$I$2+1) &amp; INDEX({"I","II","III","IV","V","VI","VII","VIII","IX","X"}, MOD(ROW()-3, WORK_PLACE!$I$2)+1))</f>
        <v/>
      </c>
      <c r="B55" s="45"/>
      <c r="C55" t="str">
        <f>IFERROR(
    IF(D55=0,
        IF($K$6=1,VLOOKUP(B55,SOURCE!$D$1:$I$2329,3,0),
        IF($K$6=2,VLOOKUP(B55,SOURCE!$D$1:$I$2329,4,0),
        IF($K$6=3,VLOOKUP(B55,SOURCE!$D$1:$I$2329,5,0),
        VLOOKUP(B55,SOURCE!$D$1:$I$2329,6,0)))),
    IF(D55=1,VLOOKUP(B55,SOURCE!$D$1:$I$2329,3,0),
    IF(D55=2,VLOOKUP(B55,SOURCE!$D$1:$I$2329,4,0),
    IF(D55=3,VLOOKUP(B55,SOURCE!$D$1:$I$2329,5,0),
    VLOOKUP(B55,SOURCE!$D$1:$I$2329,6,0))))),
"")</f>
        <v/>
      </c>
      <c r="D55" s="42">
        <v>0</v>
      </c>
    </row>
    <row r="56" spans="1:6">
      <c r="A56" s="86" t="str">
        <f t="array" ref="A56">IF(Table1[[#This Row],[TOPIC LIST]]="","",INT((ROW()-3)/WORK_PLACE!$I$2+1) &amp; INDEX({"I","II","III","IV","V","VI","VII","VIII","IX","X"}, MOD(ROW()-3, WORK_PLACE!$I$2)+1))</f>
        <v/>
      </c>
      <c r="B56" s="45"/>
      <c r="C56" t="str">
        <f>IFERROR(
    IF(D56=0,
        IF($K$6=1,VLOOKUP(B56,SOURCE!$D$1:$I$2329,3,0),
        IF($K$6=2,VLOOKUP(B56,SOURCE!$D$1:$I$2329,4,0),
        IF($K$6=3,VLOOKUP(B56,SOURCE!$D$1:$I$2329,5,0),
        VLOOKUP(B56,SOURCE!$D$1:$I$2329,6,0)))),
    IF(D56=1,VLOOKUP(B56,SOURCE!$D$1:$I$2329,3,0),
    IF(D56=2,VLOOKUP(B56,SOURCE!$D$1:$I$2329,4,0),
    IF(D56=3,VLOOKUP(B56,SOURCE!$D$1:$I$2329,5,0),
    VLOOKUP(B56,SOURCE!$D$1:$I$2329,6,0))))),
"")</f>
        <v/>
      </c>
      <c r="D56" s="42">
        <v>0</v>
      </c>
    </row>
    <row r="57" spans="1:6">
      <c r="A57" s="86" t="str">
        <f t="array" ref="A57">IF(Table1[[#This Row],[TOPIC LIST]]="","",INT((ROW()-3)/WORK_PLACE!$I$2+1) &amp; INDEX({"I","II","III","IV","V","VI","VII","VIII","IX","X"}, MOD(ROW()-3, WORK_PLACE!$I$2)+1))</f>
        <v/>
      </c>
      <c r="B57" s="45"/>
      <c r="C57" t="str">
        <f>IFERROR(
    IF(D57=0,
        IF($K$6=1,VLOOKUP(B57,SOURCE!$D$1:$I$2329,3,0),
        IF($K$6=2,VLOOKUP(B57,SOURCE!$D$1:$I$2329,4,0),
        IF($K$6=3,VLOOKUP(B57,SOURCE!$D$1:$I$2329,5,0),
        VLOOKUP(B57,SOURCE!$D$1:$I$2329,6,0)))),
    IF(D57=1,VLOOKUP(B57,SOURCE!$D$1:$I$2329,3,0),
    IF(D57=2,VLOOKUP(B57,SOURCE!$D$1:$I$2329,4,0),
    IF(D57=3,VLOOKUP(B57,SOURCE!$D$1:$I$2329,5,0),
    VLOOKUP(B57,SOURCE!$D$1:$I$2329,6,0))))),
"")</f>
        <v/>
      </c>
      <c r="D57" s="42">
        <v>0</v>
      </c>
    </row>
    <row r="58" spans="1:6">
      <c r="A58" s="86" t="str">
        <f t="array" ref="A58">IF(Table1[[#This Row],[TOPIC LIST]]="","",INT((ROW()-3)/WORK_PLACE!$I$2+1) &amp; INDEX({"I","II","III","IV","V","VI","VII","VIII","IX","X"}, MOD(ROW()-3, WORK_PLACE!$I$2)+1))</f>
        <v/>
      </c>
      <c r="B58" s="45"/>
      <c r="C58" t="str">
        <f>IFERROR(
    IF(D58=0,
        IF($K$6=1,VLOOKUP(B58,SOURCE!$D$1:$I$2329,3,0),
        IF($K$6=2,VLOOKUP(B58,SOURCE!$D$1:$I$2329,4,0),
        IF($K$6=3,VLOOKUP(B58,SOURCE!$D$1:$I$2329,5,0),
        VLOOKUP(B58,SOURCE!$D$1:$I$2329,6,0)))),
    IF(D58=1,VLOOKUP(B58,SOURCE!$D$1:$I$2329,3,0),
    IF(D58=2,VLOOKUP(B58,SOURCE!$D$1:$I$2329,4,0),
    IF(D58=3,VLOOKUP(B58,SOURCE!$D$1:$I$2329,5,0),
    VLOOKUP(B58,SOURCE!$D$1:$I$2329,6,0))))),
"")</f>
        <v/>
      </c>
      <c r="D58" s="42">
        <v>0</v>
      </c>
    </row>
  </sheetData>
  <sheetProtection algorithmName="SHA-512" hashValue="SaqhEY5Hp+SESjsGBkv0fSssVEpxHYZJ4FJj7hOT8aCrTwLTGVCnu8nMozhD6DsfNyihR2X/S1M2egvJIUYFNg==" saltValue="LqRd77EBbHDKop93MJ6qVw==" spinCount="100000" sheet="1" objects="1" scenarios="1"/>
  <mergeCells count="2">
    <mergeCell ref="J1:K1"/>
    <mergeCell ref="M8:N8"/>
  </mergeCells>
  <dataValidations count="1">
    <dataValidation type="list" allowBlank="1" showInputMessage="1" showErrorMessage="1" sqref="D3:D58" xr:uid="{00000000-0002-0000-1400-000000000000}">
      <formula1>$N$9:$N$13</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Button2_Click">
                <anchor>
                  <from>
                    <xdr:col>5</xdr:col>
                    <xdr:colOff>601980</xdr:colOff>
                    <xdr:row>2</xdr:row>
                    <xdr:rowOff>0</xdr:rowOff>
                  </from>
                  <to>
                    <xdr:col>8</xdr:col>
                    <xdr:colOff>137160</xdr:colOff>
                    <xdr:row>3</xdr:row>
                    <xdr:rowOff>114300</xdr:rowOff>
                  </to>
                </anchor>
              </controlPr>
            </control>
          </mc:Choice>
        </mc:AlternateContent>
        <mc:AlternateContent xmlns:mc="http://schemas.openxmlformats.org/markup-compatibility/2006">
          <mc:Choice Requires="x14">
            <control shapeId="1030" r:id="rId6" name="Option Button 6">
              <controlPr defaultSize="0" autoFill="0" autoLine="0" autoPict="0">
                <anchor moveWithCells="1">
                  <from>
                    <xdr:col>12</xdr:col>
                    <xdr:colOff>38100</xdr:colOff>
                    <xdr:row>0</xdr:row>
                    <xdr:rowOff>1493520</xdr:rowOff>
                  </from>
                  <to>
                    <xdr:col>14</xdr:col>
                    <xdr:colOff>312420</xdr:colOff>
                    <xdr:row>3</xdr:row>
                    <xdr:rowOff>99060</xdr:rowOff>
                  </to>
                </anchor>
              </controlPr>
            </control>
          </mc:Choice>
        </mc:AlternateContent>
        <mc:AlternateContent xmlns:mc="http://schemas.openxmlformats.org/markup-compatibility/2006">
          <mc:Choice Requires="x14">
            <control shapeId="1031" r:id="rId7" name="Option Button 7">
              <controlPr defaultSize="0" autoFill="0" autoLine="0" autoPict="0">
                <anchor moveWithCells="1">
                  <from>
                    <xdr:col>12</xdr:col>
                    <xdr:colOff>45720</xdr:colOff>
                    <xdr:row>2</xdr:row>
                    <xdr:rowOff>137160</xdr:rowOff>
                  </from>
                  <to>
                    <xdr:col>14</xdr:col>
                    <xdr:colOff>91440</xdr:colOff>
                    <xdr:row>4</xdr:row>
                    <xdr:rowOff>60960</xdr:rowOff>
                  </to>
                </anchor>
              </controlPr>
            </control>
          </mc:Choice>
        </mc:AlternateContent>
        <mc:AlternateContent xmlns:mc="http://schemas.openxmlformats.org/markup-compatibility/2006">
          <mc:Choice Requires="x14">
            <control shapeId="1032" r:id="rId8" name="Option Button 8">
              <controlPr defaultSize="0" autoFill="0" autoLine="0" autoPict="0">
                <anchor moveWithCells="1">
                  <from>
                    <xdr:col>12</xdr:col>
                    <xdr:colOff>68580</xdr:colOff>
                    <xdr:row>4</xdr:row>
                    <xdr:rowOff>106680</xdr:rowOff>
                  </from>
                  <to>
                    <xdr:col>14</xdr:col>
                    <xdr:colOff>198120</xdr:colOff>
                    <xdr:row>5</xdr:row>
                    <xdr:rowOff>175260</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from>
                    <xdr:col>5</xdr:col>
                    <xdr:colOff>601980</xdr:colOff>
                    <xdr:row>4</xdr:row>
                    <xdr:rowOff>91440</xdr:rowOff>
                  </from>
                  <to>
                    <xdr:col>8</xdr:col>
                    <xdr:colOff>137160</xdr:colOff>
                    <xdr:row>5</xdr:row>
                    <xdr:rowOff>182880</xdr:rowOff>
                  </to>
                </anchor>
              </controlPr>
            </control>
          </mc:Choice>
        </mc:AlternateContent>
        <mc:AlternateContent xmlns:mc="http://schemas.openxmlformats.org/markup-compatibility/2006">
          <mc:Choice Requires="x14">
            <control shapeId="1039" r:id="rId10" name="Button 15">
              <controlPr defaultSize="0" print="0" autoFill="0" autoPict="0" macro="[0]!SCHEDULE86_Button2_Click">
                <anchor>
                  <from>
                    <xdr:col>8</xdr:col>
                    <xdr:colOff>1150620</xdr:colOff>
                    <xdr:row>2</xdr:row>
                    <xdr:rowOff>0</xdr:rowOff>
                  </from>
                  <to>
                    <xdr:col>10</xdr:col>
                    <xdr:colOff>472440</xdr:colOff>
                    <xdr:row>3</xdr:row>
                    <xdr:rowOff>106680</xdr:rowOff>
                  </to>
                </anchor>
              </controlPr>
            </control>
          </mc:Choice>
        </mc:AlternateContent>
        <mc:AlternateContent xmlns:mc="http://schemas.openxmlformats.org/markup-compatibility/2006">
          <mc:Choice Requires="x14">
            <control shapeId="1603" r:id="rId11" name="Button 579">
              <controlPr defaultSize="0" print="0" autoFill="0" autoPict="0" macro="[0]!Button579_Click">
                <anchor>
                  <from>
                    <xdr:col>8</xdr:col>
                    <xdr:colOff>1158240</xdr:colOff>
                    <xdr:row>4</xdr:row>
                    <xdr:rowOff>53340</xdr:rowOff>
                  </from>
                  <to>
                    <xdr:col>10</xdr:col>
                    <xdr:colOff>480060</xdr:colOff>
                    <xdr:row>5</xdr:row>
                    <xdr:rowOff>144780</xdr:rowOff>
                  </to>
                </anchor>
              </controlPr>
            </control>
          </mc:Choice>
        </mc:AlternateContent>
        <mc:AlternateContent xmlns:mc="http://schemas.openxmlformats.org/markup-compatibility/2006">
          <mc:Choice Requires="x14">
            <control shapeId="1607" r:id="rId12" name="Option Button 583">
              <controlPr defaultSize="0" autoFill="0" autoLine="0" autoPict="0">
                <anchor moveWithCells="1">
                  <from>
                    <xdr:col>12</xdr:col>
                    <xdr:colOff>45720</xdr:colOff>
                    <xdr:row>5</xdr:row>
                    <xdr:rowOff>175260</xdr:rowOff>
                  </from>
                  <to>
                    <xdr:col>14</xdr:col>
                    <xdr:colOff>121920</xdr:colOff>
                    <xdr:row>6</xdr:row>
                    <xdr:rowOff>106680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2">
        <x14:dataValidation type="list" allowBlank="1" showInputMessage="1" showErrorMessage="1" xr:uid="{36A4EA1B-7A36-41C5-A18E-3945227308EA}">
          <x14:formula1>
            <xm:f>WORK_PLACE!$C$3:$C$51</xm:f>
          </x14:formula1>
          <xm:sqref>B3:B50</xm:sqref>
        </x14:dataValidation>
        <x14:dataValidation type="list" allowBlank="1" showInputMessage="1" showErrorMessage="1" xr:uid="{00000000-0002-0000-1400-000001000000}">
          <x14:formula1>
            <xm:f>WORK_PLACE!C3:C58</xm:f>
          </x14:formula1>
          <xm:sqref>B3:B58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A1:Q58"/>
  <sheetViews>
    <sheetView showGridLines="0" tabSelected="1" zoomScale="70" zoomScaleNormal="70" workbookViewId="0">
      <selection activeCell="K3" sqref="K3"/>
    </sheetView>
  </sheetViews>
  <sheetFormatPr defaultColWidth="8.88671875" defaultRowHeight="14.4"/>
  <cols>
    <col min="1" max="1" width="24.6640625" style="42" customWidth="1"/>
    <col min="2" max="2" width="20.33203125" style="42" customWidth="1"/>
    <col min="3" max="3" width="56.44140625" style="42" customWidth="1"/>
    <col min="4" max="4" width="15.6640625" style="42" bestFit="1" customWidth="1"/>
    <col min="5" max="8" width="8.88671875" style="42"/>
    <col min="9" max="9" width="28.33203125" style="42" customWidth="1"/>
    <col min="10" max="10" width="8.88671875" style="42"/>
    <col min="11" max="11" width="11.44140625" style="42" customWidth="1"/>
    <col min="12" max="12" width="8.88671875" style="42"/>
    <col min="13" max="13" width="9.6640625" style="42" customWidth="1"/>
    <col min="14" max="14" width="6.33203125" style="42" customWidth="1"/>
    <col min="15" max="15" width="11.44140625" style="42" customWidth="1"/>
    <col min="16" max="16384" width="8.88671875" style="42"/>
  </cols>
  <sheetData>
    <row r="1" spans="1:17" ht="110.4" customHeight="1">
      <c r="A1" s="43"/>
      <c r="B1" s="43"/>
      <c r="C1" s="43"/>
      <c r="I1" s="42" t="s">
        <v>4</v>
      </c>
      <c r="J1" s="166" t="s">
        <v>47</v>
      </c>
      <c r="K1" s="166"/>
    </row>
    <row r="2" spans="1:17" ht="14.4" customHeight="1">
      <c r="A2" s="84" t="s">
        <v>325</v>
      </c>
      <c r="B2" s="45"/>
      <c r="C2" s="44" t="s">
        <v>323</v>
      </c>
      <c r="D2" s="167" t="s">
        <v>326</v>
      </c>
      <c r="E2" s="167"/>
      <c r="F2" s="167"/>
      <c r="G2" s="167"/>
      <c r="I2" s="46">
        <v>8</v>
      </c>
      <c r="J2" s="112"/>
      <c r="K2" s="113">
        <v>0</v>
      </c>
      <c r="M2" s="54"/>
      <c r="N2" s="54"/>
    </row>
    <row r="3" spans="1:17">
      <c r="A3" s="44"/>
      <c r="B3" s="45"/>
      <c r="C3" s="45"/>
      <c r="F3" s="53"/>
      <c r="G3" s="48"/>
      <c r="M3" s="54"/>
      <c r="N3" s="54"/>
      <c r="P3" s="48"/>
    </row>
    <row r="4" spans="1:17">
      <c r="A4" s="44"/>
      <c r="B4" s="45"/>
      <c r="C4" s="45"/>
      <c r="F4" s="53"/>
      <c r="I4" s="55" t="s">
        <v>268</v>
      </c>
      <c r="K4" s="47" t="s">
        <v>328</v>
      </c>
      <c r="M4" s="54"/>
      <c r="N4" s="54"/>
      <c r="P4" s="119"/>
    </row>
    <row r="5" spans="1:17">
      <c r="A5" s="44"/>
      <c r="B5" s="45"/>
      <c r="C5" s="45"/>
      <c r="F5" s="53"/>
      <c r="I5" s="49">
        <v>5</v>
      </c>
      <c r="M5" s="54"/>
      <c r="N5" s="54"/>
      <c r="O5" s="48"/>
      <c r="P5" s="120">
        <v>1</v>
      </c>
    </row>
    <row r="6" spans="1:17" ht="24" customHeight="1">
      <c r="A6" s="43" t="s">
        <v>324</v>
      </c>
      <c r="B6" s="45"/>
      <c r="C6" s="45"/>
      <c r="D6" s="150" t="s">
        <v>327</v>
      </c>
      <c r="E6" s="150"/>
      <c r="F6" s="150"/>
      <c r="G6" s="150"/>
      <c r="K6" s="50"/>
      <c r="M6" s="54"/>
      <c r="N6" s="54"/>
      <c r="O6" s="51"/>
      <c r="P6" s="120">
        <v>2</v>
      </c>
    </row>
    <row r="7" spans="1:17">
      <c r="A7" s="44"/>
      <c r="B7" s="45"/>
      <c r="C7" s="45"/>
      <c r="F7" s="53"/>
      <c r="I7" s="115" t="s">
        <v>350</v>
      </c>
      <c r="K7" s="47"/>
      <c r="L7" s="47"/>
      <c r="M7" s="52"/>
      <c r="N7" s="52"/>
      <c r="O7" s="51"/>
      <c r="P7" s="120">
        <v>3</v>
      </c>
      <c r="Q7" s="120"/>
    </row>
    <row r="8" spans="1:17">
      <c r="A8" s="44"/>
      <c r="B8" s="45"/>
      <c r="C8" s="45"/>
      <c r="F8" s="53"/>
      <c r="I8" s="116">
        <v>45673</v>
      </c>
      <c r="K8" s="47"/>
      <c r="L8" s="114"/>
      <c r="M8" s="150"/>
      <c r="N8" s="150"/>
      <c r="P8" s="120">
        <v>4</v>
      </c>
      <c r="Q8" s="120">
        <v>4</v>
      </c>
    </row>
    <row r="9" spans="1:17">
      <c r="A9" s="44"/>
      <c r="B9" s="45"/>
      <c r="C9" s="45"/>
      <c r="F9" s="53"/>
      <c r="K9" s="47"/>
      <c r="L9" s="47"/>
      <c r="P9" s="120">
        <v>5</v>
      </c>
      <c r="Q9" s="120">
        <v>6</v>
      </c>
    </row>
    <row r="10" spans="1:17">
      <c r="A10" s="44"/>
      <c r="B10" s="45"/>
      <c r="C10" s="45"/>
      <c r="D10" s="150" t="s">
        <v>354</v>
      </c>
      <c r="E10" s="150"/>
      <c r="F10" s="150"/>
      <c r="G10" s="150"/>
      <c r="K10" s="47"/>
      <c r="L10" s="47"/>
      <c r="P10" s="120">
        <v>6</v>
      </c>
      <c r="Q10" s="120">
        <v>8</v>
      </c>
    </row>
    <row r="11" spans="1:17">
      <c r="A11" s="44"/>
      <c r="B11" s="45"/>
      <c r="C11" s="45"/>
      <c r="F11" s="53"/>
      <c r="K11" s="47"/>
      <c r="L11" s="47"/>
      <c r="P11" s="120">
        <v>7</v>
      </c>
      <c r="Q11" s="120"/>
    </row>
    <row r="12" spans="1:17">
      <c r="A12" s="44"/>
      <c r="B12" s="45"/>
      <c r="C12" s="45"/>
      <c r="F12" s="53"/>
      <c r="K12" s="47"/>
      <c r="L12" s="47"/>
      <c r="M12" s="167"/>
      <c r="P12" s="120">
        <v>8</v>
      </c>
    </row>
    <row r="13" spans="1:17">
      <c r="A13" s="44"/>
      <c r="B13" s="45"/>
      <c r="C13" s="45"/>
      <c r="F13" s="53"/>
      <c r="M13" s="167"/>
    </row>
    <row r="14" spans="1:17">
      <c r="A14" s="44"/>
      <c r="B14" s="45"/>
      <c r="C14" s="45"/>
      <c r="F14" s="53"/>
    </row>
    <row r="15" spans="1:17">
      <c r="A15" s="44"/>
      <c r="B15" s="45"/>
      <c r="C15" s="45"/>
      <c r="F15" s="53"/>
    </row>
    <row r="16" spans="1:17">
      <c r="A16" s="44"/>
      <c r="B16" s="45"/>
      <c r="C16" s="45"/>
      <c r="F16" s="53"/>
    </row>
    <row r="17" spans="1:6">
      <c r="A17" s="44"/>
      <c r="B17" s="45"/>
      <c r="C17" s="45"/>
      <c r="F17" s="53"/>
    </row>
    <row r="18" spans="1:6">
      <c r="A18" s="44"/>
      <c r="B18" s="45"/>
      <c r="C18" s="45"/>
      <c r="F18" s="53"/>
    </row>
    <row r="19" spans="1:6">
      <c r="A19" s="44"/>
      <c r="B19" s="45"/>
      <c r="C19" s="45"/>
      <c r="F19" s="53"/>
    </row>
    <row r="20" spans="1:6">
      <c r="A20" s="44"/>
      <c r="B20" s="45"/>
      <c r="C20" s="45"/>
      <c r="F20" s="53"/>
    </row>
    <row r="21" spans="1:6">
      <c r="A21" s="44"/>
      <c r="B21" s="45"/>
      <c r="C21" s="45"/>
      <c r="F21" s="53"/>
    </row>
    <row r="22" spans="1:6">
      <c r="A22" s="44"/>
      <c r="B22" s="45"/>
      <c r="C22" s="45"/>
      <c r="F22" s="53"/>
    </row>
    <row r="23" spans="1:6">
      <c r="A23" s="44"/>
      <c r="B23" s="45"/>
      <c r="C23" s="45"/>
      <c r="F23" s="53"/>
    </row>
    <row r="24" spans="1:6">
      <c r="A24" s="44"/>
      <c r="B24" s="45"/>
      <c r="C24" s="45"/>
      <c r="F24" s="53"/>
    </row>
    <row r="25" spans="1:6">
      <c r="A25" s="44"/>
      <c r="B25" s="45"/>
      <c r="C25" s="45"/>
      <c r="F25" s="53"/>
    </row>
    <row r="26" spans="1:6">
      <c r="A26" s="44"/>
      <c r="B26" s="45"/>
      <c r="C26" s="45"/>
      <c r="F26" s="53"/>
    </row>
    <row r="27" spans="1:6">
      <c r="A27" s="44"/>
      <c r="B27" s="45"/>
      <c r="C27" s="45"/>
      <c r="F27" s="53"/>
    </row>
    <row r="28" spans="1:6">
      <c r="A28" s="44"/>
      <c r="B28" s="45"/>
      <c r="C28" s="45"/>
      <c r="F28" s="53"/>
    </row>
    <row r="29" spans="1:6">
      <c r="A29" s="44"/>
      <c r="B29" s="45"/>
      <c r="C29" s="45"/>
      <c r="F29" s="53"/>
    </row>
    <row r="30" spans="1:6">
      <c r="A30" s="44"/>
      <c r="B30" s="45"/>
      <c r="C30" s="45"/>
      <c r="F30" s="53"/>
    </row>
    <row r="31" spans="1:6">
      <c r="A31" s="44"/>
      <c r="B31" s="45"/>
      <c r="C31" s="45"/>
      <c r="F31" s="53"/>
    </row>
    <row r="32" spans="1:6">
      <c r="A32" s="44"/>
      <c r="B32" s="45"/>
      <c r="C32" s="45"/>
      <c r="F32" s="53"/>
    </row>
    <row r="33" spans="1:8">
      <c r="A33" s="44"/>
      <c r="B33" s="45"/>
      <c r="C33" s="45"/>
      <c r="F33" s="53"/>
    </row>
    <row r="34" spans="1:8">
      <c r="A34" s="44"/>
      <c r="B34" s="45"/>
      <c r="C34" s="45"/>
      <c r="F34" s="53"/>
    </row>
    <row r="35" spans="1:8">
      <c r="A35" s="44"/>
      <c r="B35" s="45"/>
      <c r="C35" s="45"/>
      <c r="F35" s="53"/>
    </row>
    <row r="36" spans="1:8">
      <c r="A36" s="44"/>
      <c r="B36" s="45"/>
      <c r="C36" s="45"/>
      <c r="F36" s="53"/>
    </row>
    <row r="37" spans="1:8">
      <c r="A37" s="44"/>
      <c r="B37" s="45"/>
      <c r="C37" s="45"/>
      <c r="F37" s="53"/>
    </row>
    <row r="38" spans="1:8">
      <c r="A38" s="44"/>
      <c r="B38" s="45"/>
      <c r="C38" s="45"/>
      <c r="F38" s="53"/>
    </row>
    <row r="39" spans="1:8">
      <c r="A39" s="44"/>
      <c r="B39" s="45"/>
      <c r="C39" s="45"/>
      <c r="F39" s="53"/>
    </row>
    <row r="40" spans="1:8">
      <c r="A40" s="44"/>
      <c r="B40" s="45"/>
      <c r="C40" s="45"/>
      <c r="F40" s="53"/>
    </row>
    <row r="41" spans="1:8">
      <c r="A41" s="44"/>
      <c r="B41" s="45"/>
      <c r="C41" s="45"/>
      <c r="F41" s="53"/>
    </row>
    <row r="42" spans="1:8">
      <c r="A42" s="44"/>
      <c r="B42" s="45"/>
      <c r="C42" s="45"/>
      <c r="F42" s="53"/>
      <c r="H42" s="42" t="s">
        <v>269</v>
      </c>
    </row>
    <row r="43" spans="1:8">
      <c r="A43" s="44"/>
      <c r="B43" s="45"/>
      <c r="C43" s="45"/>
      <c r="F43" s="53"/>
    </row>
    <row r="44" spans="1:8">
      <c r="A44" s="44"/>
      <c r="B44" s="45"/>
      <c r="C44" s="45"/>
      <c r="F44" s="53"/>
    </row>
    <row r="45" spans="1:8">
      <c r="A45" s="44"/>
      <c r="B45" s="45"/>
      <c r="C45" s="45"/>
      <c r="F45" s="53"/>
    </row>
    <row r="46" spans="1:8">
      <c r="A46" s="44"/>
      <c r="B46" s="45"/>
      <c r="C46" s="45"/>
      <c r="F46" s="53"/>
    </row>
    <row r="47" spans="1:8">
      <c r="A47" s="44"/>
      <c r="B47" s="45"/>
      <c r="C47" s="45"/>
      <c r="F47" s="53"/>
    </row>
    <row r="48" spans="1:8">
      <c r="A48" s="44"/>
      <c r="B48" s="45"/>
      <c r="C48" s="45"/>
      <c r="F48" s="53"/>
    </row>
    <row r="49" spans="1:6">
      <c r="A49" s="44"/>
      <c r="B49" s="45"/>
      <c r="C49" s="45"/>
      <c r="F49" s="53"/>
    </row>
    <row r="50" spans="1:6">
      <c r="A50" s="44"/>
      <c r="B50" s="45"/>
      <c r="C50" s="45"/>
      <c r="F50" s="53"/>
    </row>
    <row r="51" spans="1:6">
      <c r="C51" s="45"/>
      <c r="F51" s="53"/>
    </row>
    <row r="52" spans="1:6">
      <c r="C52" s="45"/>
    </row>
    <row r="53" spans="1:6">
      <c r="C53" s="45"/>
    </row>
    <row r="54" spans="1:6">
      <c r="C54" s="45"/>
    </row>
    <row r="55" spans="1:6">
      <c r="C55" s="45"/>
    </row>
    <row r="56" spans="1:6">
      <c r="C56" s="45"/>
    </row>
    <row r="57" spans="1:6">
      <c r="C57" s="45"/>
    </row>
    <row r="58" spans="1:6">
      <c r="C58" s="45"/>
    </row>
  </sheetData>
  <mergeCells count="6">
    <mergeCell ref="D2:G2"/>
    <mergeCell ref="D6:G6"/>
    <mergeCell ref="J1:K1"/>
    <mergeCell ref="M8:N8"/>
    <mergeCell ref="M12:M13"/>
    <mergeCell ref="D10:G10"/>
  </mergeCells>
  <dataValidations count="2">
    <dataValidation type="list" allowBlank="1" showInputMessage="1" showErrorMessage="1" sqref="I5" xr:uid="{E69EB7F9-4409-44A2-9479-021F342DBBEF}">
      <formula1>$P$5:$P$11</formula1>
    </dataValidation>
    <dataValidation type="list" allowBlank="1" showInputMessage="1" showErrorMessage="1" sqref="I2" xr:uid="{4C514225-26D1-48CC-9598-FCB598E411AE}">
      <formula1>$P$5:$P$12</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5846" r:id="rId5" name="Button 6">
              <controlPr defaultSize="0" print="0" autoFill="0" autoPict="0" macro="[0]!Button1_Click">
                <anchor moveWithCells="1">
                  <from>
                    <xdr:col>3</xdr:col>
                    <xdr:colOff>830580</xdr:colOff>
                    <xdr:row>2</xdr:row>
                    <xdr:rowOff>7620</xdr:rowOff>
                  </from>
                  <to>
                    <xdr:col>5</xdr:col>
                    <xdr:colOff>426720</xdr:colOff>
                    <xdr:row>3</xdr:row>
                    <xdr:rowOff>137160</xdr:rowOff>
                  </to>
                </anchor>
              </controlPr>
            </control>
          </mc:Choice>
        </mc:AlternateContent>
        <mc:AlternateContent xmlns:mc="http://schemas.openxmlformats.org/markup-compatibility/2006">
          <mc:Choice Requires="x14">
            <control shapeId="35847" r:id="rId6" name="Button 7">
              <controlPr defaultSize="0" print="0" autoFill="0" autoPict="0" macro="[0]!SCHEDULE86_Button2_Click">
                <anchor moveWithCells="1">
                  <from>
                    <xdr:col>0</xdr:col>
                    <xdr:colOff>68580</xdr:colOff>
                    <xdr:row>6</xdr:row>
                    <xdr:rowOff>30480</xdr:rowOff>
                  </from>
                  <to>
                    <xdr:col>0</xdr:col>
                    <xdr:colOff>1348740</xdr:colOff>
                    <xdr:row>8</xdr:row>
                    <xdr:rowOff>15240</xdr:rowOff>
                  </to>
                </anchor>
              </controlPr>
            </control>
          </mc:Choice>
        </mc:AlternateContent>
        <mc:AlternateContent xmlns:mc="http://schemas.openxmlformats.org/markup-compatibility/2006">
          <mc:Choice Requires="x14">
            <control shapeId="35849" r:id="rId7" name="Button 9">
              <controlPr defaultSize="0" print="0" autoFill="0" autoPict="0" macro="[0]!Button389_Click">
                <anchor moveWithCells="1">
                  <from>
                    <xdr:col>0</xdr:col>
                    <xdr:colOff>30480</xdr:colOff>
                    <xdr:row>2</xdr:row>
                    <xdr:rowOff>53340</xdr:rowOff>
                  </from>
                  <to>
                    <xdr:col>0</xdr:col>
                    <xdr:colOff>1310640</xdr:colOff>
                    <xdr:row>4</xdr:row>
                    <xdr:rowOff>0</xdr:rowOff>
                  </to>
                </anchor>
              </controlPr>
            </control>
          </mc:Choice>
        </mc:AlternateContent>
        <mc:AlternateContent xmlns:mc="http://schemas.openxmlformats.org/markup-compatibility/2006">
          <mc:Choice Requires="x14">
            <control shapeId="35852" r:id="rId8" name="Button 12">
              <controlPr defaultSize="0" print="0" autoFill="0" autoPict="0" macro="[0]!Button12_Click">
                <anchor moveWithCells="1">
                  <from>
                    <xdr:col>3</xdr:col>
                    <xdr:colOff>777240</xdr:colOff>
                    <xdr:row>6</xdr:row>
                    <xdr:rowOff>15240</xdr:rowOff>
                  </from>
                  <to>
                    <xdr:col>5</xdr:col>
                    <xdr:colOff>373380</xdr:colOff>
                    <xdr:row>8</xdr:row>
                    <xdr:rowOff>0</xdr:rowOff>
                  </to>
                </anchor>
              </controlPr>
            </control>
          </mc:Choice>
        </mc:AlternateContent>
        <mc:AlternateContent xmlns:mc="http://schemas.openxmlformats.org/markup-compatibility/2006">
          <mc:Choice Requires="x14">
            <control shapeId="35853" r:id="rId9" name="Button 13">
              <controlPr defaultSize="0" print="0" autoFill="0" autoPict="0" macro="[0]!Button13_Click">
                <anchor moveWithCells="1">
                  <from>
                    <xdr:col>10</xdr:col>
                    <xdr:colOff>99060</xdr:colOff>
                    <xdr:row>4</xdr:row>
                    <xdr:rowOff>38100</xdr:rowOff>
                  </from>
                  <to>
                    <xdr:col>12</xdr:col>
                    <xdr:colOff>68580</xdr:colOff>
                    <xdr:row>5</xdr:row>
                    <xdr:rowOff>144780</xdr:rowOff>
                  </to>
                </anchor>
              </controlPr>
            </control>
          </mc:Choice>
        </mc:AlternateContent>
        <mc:AlternateContent xmlns:mc="http://schemas.openxmlformats.org/markup-compatibility/2006">
          <mc:Choice Requires="x14">
            <control shapeId="35855" r:id="rId10" name="Button 15">
              <controlPr defaultSize="0" print="0" autoFill="0" autoPict="0" macro="[0]!MarkCompleted">
                <anchor moveWithCells="1" sizeWithCells="1">
                  <from>
                    <xdr:col>3</xdr:col>
                    <xdr:colOff>807720</xdr:colOff>
                    <xdr:row>10</xdr:row>
                    <xdr:rowOff>175260</xdr:rowOff>
                  </from>
                  <to>
                    <xdr:col>5</xdr:col>
                    <xdr:colOff>358140</xdr:colOff>
                    <xdr:row>12</xdr:row>
                    <xdr:rowOff>106680</xdr:rowOff>
                  </to>
                </anchor>
              </controlPr>
            </control>
          </mc:Choice>
        </mc:AlternateContent>
      </controls>
    </mc:Choice>
  </mc:AlternateContent>
  <tableParts count="1">
    <tablePart r:id="rId11"/>
  </tableParts>
  <extLst>
    <ext xmlns:x14="http://schemas.microsoft.com/office/spreadsheetml/2009/9/main" uri="{CCE6A557-97BC-4b89-ADB6-D9C93CAAB3DF}">
      <x14:dataValidations xmlns:xm="http://schemas.microsoft.com/office/excel/2006/main" count="5">
        <x14:dataValidation type="list" allowBlank="1" showInputMessage="1" showErrorMessage="1" xr:uid="{BE868527-9DC4-40E6-AF0A-131E06330258}">
          <x14:formula1>
            <xm:f>SOURCE!D2:D1970</xm:f>
          </x14:formula1>
          <xm:sqref>C4:C19</xm:sqref>
        </x14:dataValidation>
        <x14:dataValidation type="list" allowBlank="1" showInputMessage="1" showErrorMessage="1" xr:uid="{6A5648E1-E839-46FE-8306-4E834ADECDF4}">
          <x14:formula1>
            <xm:f>SOURCE!D2:D1986</xm:f>
          </x14:formula1>
          <xm:sqref>C20:C58</xm:sqref>
        </x14:dataValidation>
        <x14:dataValidation type="list" allowBlank="1" showInputMessage="1" showErrorMessage="1" xr:uid="{BC6C4D13-7BAA-4D06-87DD-068DB887FA4E}">
          <x14:formula1>
            <xm:f>SOURCE!D2:D1970</xm:f>
          </x14:formula1>
          <xm:sqref>C3</xm:sqref>
        </x14:dataValidation>
        <x14:dataValidation type="list" allowBlank="1" showInputMessage="1" showErrorMessage="1" xr:uid="{9B54D85A-C074-479A-946F-555F92357128}">
          <x14:formula1>
            <xm:f>SOURCE!D2:D966</xm:f>
          </x14:formula1>
          <xm:sqref>C3:C36</xm:sqref>
        </x14:dataValidation>
        <x14:dataValidation type="list" allowBlank="1" showInputMessage="1" showErrorMessage="1" xr:uid="{EF2F9DA5-F8CE-47E9-918F-AAC08A0885EF}">
          <x14:formula1>
            <xm:f>SOURCE!D2:D1000</xm:f>
          </x14:formula1>
          <xm:sqref>C37:C51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
  <dimension ref="A1:I2333"/>
  <sheetViews>
    <sheetView showGridLines="0" zoomScale="80" zoomScaleNormal="80" workbookViewId="0">
      <selection activeCell="K6" sqref="K6"/>
    </sheetView>
  </sheetViews>
  <sheetFormatPr defaultRowHeight="14.4"/>
  <cols>
    <col min="1" max="2" width="5.33203125" customWidth="1"/>
    <col min="3" max="3" width="11.33203125" bestFit="1" customWidth="1"/>
    <col min="4" max="4" width="28.44140625" customWidth="1"/>
    <col min="5" max="5" width="19.77734375" customWidth="1"/>
    <col min="6" max="6" width="20" customWidth="1"/>
    <col min="7" max="7" width="19.77734375" customWidth="1"/>
    <col min="8" max="8" width="20.44140625" bestFit="1" customWidth="1"/>
    <col min="9" max="9" width="19.77734375" customWidth="1"/>
  </cols>
  <sheetData>
    <row r="1" spans="1:9" ht="44.25" customHeight="1">
      <c r="A1" s="1" t="s">
        <v>49</v>
      </c>
      <c r="B1" s="2" t="s">
        <v>5</v>
      </c>
      <c r="C1" s="3" t="s">
        <v>50</v>
      </c>
      <c r="D1" s="41" t="s">
        <v>51</v>
      </c>
      <c r="E1" s="4" t="s">
        <v>52</v>
      </c>
      <c r="F1" s="31" t="s">
        <v>53</v>
      </c>
      <c r="G1" s="31" t="s">
        <v>54</v>
      </c>
      <c r="H1" s="31" t="s">
        <v>55</v>
      </c>
      <c r="I1" s="34" t="s">
        <v>389</v>
      </c>
    </row>
    <row r="2" spans="1:9" ht="24" customHeight="1">
      <c r="A2" s="9"/>
      <c r="B2" s="99"/>
      <c r="C2" s="95"/>
      <c r="D2" s="13" t="s">
        <v>58</v>
      </c>
      <c r="E2" s="9">
        <v>1</v>
      </c>
      <c r="F2" s="34" t="s">
        <v>6</v>
      </c>
      <c r="G2" s="34" t="s">
        <v>7</v>
      </c>
      <c r="H2" s="31" t="s">
        <v>59</v>
      </c>
      <c r="I2" s="31" t="s">
        <v>16</v>
      </c>
    </row>
    <row r="3" spans="1:9" ht="24" customHeight="1">
      <c r="A3" s="9">
        <v>1</v>
      </c>
      <c r="B3" s="91"/>
      <c r="C3" s="192" t="s">
        <v>57</v>
      </c>
      <c r="D3" s="13" t="s">
        <v>58</v>
      </c>
      <c r="E3" s="9">
        <v>1</v>
      </c>
      <c r="F3" s="34" t="s">
        <v>6</v>
      </c>
      <c r="G3" s="34" t="s">
        <v>7</v>
      </c>
      <c r="H3" s="31" t="s">
        <v>59</v>
      </c>
      <c r="I3" s="31" t="s">
        <v>27</v>
      </c>
    </row>
    <row r="4" spans="1:9" ht="24" customHeight="1">
      <c r="A4" s="9"/>
      <c r="B4" s="92"/>
      <c r="C4" s="193"/>
      <c r="D4" s="13" t="s">
        <v>60</v>
      </c>
      <c r="E4" s="9">
        <v>1</v>
      </c>
      <c r="F4" s="31" t="s">
        <v>61</v>
      </c>
      <c r="G4" s="31" t="s">
        <v>62</v>
      </c>
      <c r="H4" s="31" t="s">
        <v>63</v>
      </c>
      <c r="I4" s="34" t="s">
        <v>12</v>
      </c>
    </row>
    <row r="5" spans="1:9">
      <c r="A5" s="9">
        <v>2</v>
      </c>
      <c r="B5" s="92"/>
      <c r="C5" s="193"/>
      <c r="D5" s="13" t="s">
        <v>60</v>
      </c>
      <c r="E5" s="9">
        <v>1</v>
      </c>
      <c r="F5" s="31" t="s">
        <v>61</v>
      </c>
      <c r="G5" s="31" t="s">
        <v>62</v>
      </c>
      <c r="H5" s="31" t="s">
        <v>63</v>
      </c>
      <c r="I5" s="31" t="s">
        <v>17</v>
      </c>
    </row>
    <row r="6" spans="1:9" ht="12" customHeight="1">
      <c r="A6" s="9"/>
      <c r="B6" s="92"/>
      <c r="C6" s="193"/>
      <c r="D6" s="13" t="s">
        <v>64</v>
      </c>
      <c r="E6" s="9">
        <v>1</v>
      </c>
      <c r="F6" s="31" t="s">
        <v>65</v>
      </c>
      <c r="G6" s="34" t="s">
        <v>8</v>
      </c>
      <c r="H6" s="34" t="s">
        <v>9</v>
      </c>
      <c r="I6" s="31" t="s">
        <v>65</v>
      </c>
    </row>
    <row r="7" spans="1:9" ht="21.9" customHeight="1">
      <c r="A7" s="9">
        <v>3</v>
      </c>
      <c r="B7" s="92"/>
      <c r="C7" s="193"/>
      <c r="D7" s="13" t="s">
        <v>64</v>
      </c>
      <c r="E7" s="9">
        <v>1</v>
      </c>
      <c r="F7" s="31" t="s">
        <v>65</v>
      </c>
      <c r="G7" s="34" t="s">
        <v>8</v>
      </c>
      <c r="H7" s="34" t="s">
        <v>9</v>
      </c>
      <c r="I7" s="34" t="s">
        <v>18</v>
      </c>
    </row>
    <row r="8" spans="1:9" ht="24" customHeight="1">
      <c r="A8" s="9">
        <v>4</v>
      </c>
      <c r="B8" s="92"/>
      <c r="C8" s="193"/>
      <c r="D8" s="32" t="s">
        <v>10</v>
      </c>
      <c r="E8" s="87">
        <v>1</v>
      </c>
      <c r="F8" s="31" t="s">
        <v>63</v>
      </c>
      <c r="G8" s="31" t="s">
        <v>66</v>
      </c>
      <c r="H8" s="31" t="s">
        <v>6</v>
      </c>
      <c r="I8" s="31" t="s">
        <v>74</v>
      </c>
    </row>
    <row r="9" spans="1:9" ht="24" customHeight="1">
      <c r="A9" s="9">
        <v>5</v>
      </c>
      <c r="B9" s="92"/>
      <c r="C9" s="193"/>
      <c r="D9" s="13" t="s">
        <v>67</v>
      </c>
      <c r="E9" s="39">
        <v>1</v>
      </c>
      <c r="F9" s="31" t="s">
        <v>61</v>
      </c>
      <c r="G9" s="31" t="s">
        <v>66</v>
      </c>
      <c r="H9" s="31" t="s">
        <v>11</v>
      </c>
      <c r="I9" s="31" t="s">
        <v>74</v>
      </c>
    </row>
    <row r="10" spans="1:9" ht="12.75" customHeight="1">
      <c r="A10" s="9"/>
      <c r="B10" s="92"/>
      <c r="C10" s="193"/>
      <c r="D10" s="13" t="s">
        <v>68</v>
      </c>
      <c r="E10" s="9">
        <v>1</v>
      </c>
      <c r="F10" s="31" t="s">
        <v>69</v>
      </c>
      <c r="G10" s="31" t="s">
        <v>61</v>
      </c>
      <c r="H10" s="31" t="s">
        <v>6</v>
      </c>
      <c r="I10" s="31" t="s">
        <v>12</v>
      </c>
    </row>
    <row r="11" spans="1:9" ht="12.75" customHeight="1">
      <c r="A11" s="9">
        <v>6</v>
      </c>
      <c r="B11" s="92"/>
      <c r="C11" s="193"/>
      <c r="D11" s="13" t="s">
        <v>68</v>
      </c>
      <c r="E11" s="9">
        <v>1</v>
      </c>
      <c r="F11" s="31" t="s">
        <v>69</v>
      </c>
      <c r="G11" s="31" t="s">
        <v>61</v>
      </c>
      <c r="H11" s="31" t="s">
        <v>6</v>
      </c>
      <c r="I11" s="31" t="s">
        <v>12</v>
      </c>
    </row>
    <row r="12" spans="1:9" ht="30.6">
      <c r="A12" s="9">
        <v>7</v>
      </c>
      <c r="B12" s="92"/>
      <c r="C12" s="193"/>
      <c r="D12" s="40" t="s">
        <v>70</v>
      </c>
      <c r="E12" s="9">
        <v>1</v>
      </c>
      <c r="F12" s="34" t="s">
        <v>11</v>
      </c>
      <c r="G12" s="31" t="s">
        <v>6</v>
      </c>
      <c r="H12" s="31" t="s">
        <v>71</v>
      </c>
      <c r="I12" s="31" t="s">
        <v>21</v>
      </c>
    </row>
    <row r="13" spans="1:9">
      <c r="A13" s="9">
        <v>8</v>
      </c>
      <c r="B13" s="92"/>
      <c r="C13" s="193"/>
      <c r="D13" s="13" t="s">
        <v>72</v>
      </c>
      <c r="E13" s="9">
        <v>1</v>
      </c>
      <c r="F13" s="31" t="s">
        <v>69</v>
      </c>
      <c r="G13" s="31" t="s">
        <v>66</v>
      </c>
      <c r="H13" s="31" t="s">
        <v>12</v>
      </c>
      <c r="I13" s="31" t="s">
        <v>19</v>
      </c>
    </row>
    <row r="14" spans="1:9" ht="20.399999999999999">
      <c r="A14" s="9">
        <v>9</v>
      </c>
      <c r="B14" s="93"/>
      <c r="C14" s="194"/>
      <c r="D14" s="13" t="s">
        <v>73</v>
      </c>
      <c r="E14" s="9">
        <v>1</v>
      </c>
      <c r="F14" s="34" t="s">
        <v>13</v>
      </c>
      <c r="G14" s="31" t="s">
        <v>69</v>
      </c>
      <c r="H14" s="31" t="s">
        <v>74</v>
      </c>
      <c r="I14" s="31" t="s">
        <v>21</v>
      </c>
    </row>
    <row r="15" spans="1:9">
      <c r="A15" s="9">
        <v>10</v>
      </c>
      <c r="B15" s="9"/>
      <c r="C15" s="7" t="s">
        <v>75</v>
      </c>
      <c r="D15" s="13" t="s">
        <v>76</v>
      </c>
      <c r="E15" s="9">
        <v>1</v>
      </c>
      <c r="F15" s="31" t="s">
        <v>65</v>
      </c>
      <c r="G15" s="31" t="s">
        <v>74</v>
      </c>
      <c r="H15" s="31" t="s">
        <v>6</v>
      </c>
      <c r="I15" s="31" t="s">
        <v>20</v>
      </c>
    </row>
    <row r="16" spans="1:9">
      <c r="A16" s="9"/>
      <c r="B16" s="9"/>
      <c r="C16" s="7"/>
      <c r="D16" s="13" t="s">
        <v>77</v>
      </c>
      <c r="E16" s="9">
        <v>1</v>
      </c>
      <c r="F16" s="31" t="s">
        <v>6</v>
      </c>
      <c r="G16" s="31" t="s">
        <v>66</v>
      </c>
      <c r="H16" s="31" t="s">
        <v>78</v>
      </c>
      <c r="I16" s="31" t="s">
        <v>25</v>
      </c>
    </row>
    <row r="17" spans="1:9">
      <c r="A17" s="9">
        <v>11</v>
      </c>
      <c r="B17" s="9"/>
      <c r="C17" s="7" t="s">
        <v>75</v>
      </c>
      <c r="D17" s="13" t="s">
        <v>77</v>
      </c>
      <c r="E17" s="9">
        <v>1</v>
      </c>
      <c r="F17" s="31" t="s">
        <v>6</v>
      </c>
      <c r="G17" s="31" t="s">
        <v>66</v>
      </c>
      <c r="H17" s="31" t="s">
        <v>78</v>
      </c>
      <c r="I17" s="31" t="s">
        <v>16</v>
      </c>
    </row>
    <row r="18" spans="1:9">
      <c r="A18" s="9">
        <v>12</v>
      </c>
      <c r="B18" s="9"/>
      <c r="C18" s="7" t="s">
        <v>75</v>
      </c>
      <c r="D18" s="32" t="s">
        <v>277</v>
      </c>
      <c r="E18" s="9">
        <v>1</v>
      </c>
      <c r="F18" s="31" t="s">
        <v>69</v>
      </c>
      <c r="G18" s="31" t="s">
        <v>6</v>
      </c>
      <c r="H18" s="31" t="s">
        <v>79</v>
      </c>
      <c r="I18" s="31" t="s">
        <v>16</v>
      </c>
    </row>
    <row r="19" spans="1:9" ht="20.399999999999999">
      <c r="A19" s="9">
        <v>13</v>
      </c>
      <c r="B19" s="9"/>
      <c r="C19" s="10" t="s">
        <v>80</v>
      </c>
      <c r="D19" s="13" t="s">
        <v>81</v>
      </c>
      <c r="E19" s="9">
        <v>1</v>
      </c>
      <c r="F19" s="31" t="s">
        <v>59</v>
      </c>
      <c r="G19" s="31" t="s">
        <v>61</v>
      </c>
      <c r="H19" s="31" t="s">
        <v>6</v>
      </c>
      <c r="I19" s="31" t="s">
        <v>27</v>
      </c>
    </row>
    <row r="20" spans="1:9" ht="20.399999999999999">
      <c r="A20" s="9">
        <v>14</v>
      </c>
      <c r="B20" s="9"/>
      <c r="C20" s="7" t="s">
        <v>75</v>
      </c>
      <c r="D20" s="13" t="s">
        <v>82</v>
      </c>
      <c r="E20" s="9">
        <v>1</v>
      </c>
      <c r="F20" s="31" t="s">
        <v>11</v>
      </c>
      <c r="G20" s="31" t="s">
        <v>61</v>
      </c>
      <c r="H20" s="31" t="s">
        <v>78</v>
      </c>
      <c r="I20" s="34" t="s">
        <v>12</v>
      </c>
    </row>
    <row r="21" spans="1:9">
      <c r="A21" s="9"/>
      <c r="B21" s="9"/>
      <c r="C21" s="7"/>
      <c r="D21" s="13" t="s">
        <v>84</v>
      </c>
      <c r="E21" s="9">
        <v>1</v>
      </c>
      <c r="F21" s="31" t="s">
        <v>6</v>
      </c>
      <c r="G21" s="34" t="s">
        <v>11</v>
      </c>
      <c r="H21" s="34" t="s">
        <v>14</v>
      </c>
      <c r="I21" s="31" t="s">
        <v>17</v>
      </c>
    </row>
    <row r="22" spans="1:9" ht="12.75" customHeight="1">
      <c r="A22" s="9">
        <v>15</v>
      </c>
      <c r="B22" s="9"/>
      <c r="C22" s="7" t="s">
        <v>83</v>
      </c>
      <c r="D22" s="13" t="s">
        <v>84</v>
      </c>
      <c r="E22" s="9">
        <v>1</v>
      </c>
      <c r="F22" s="31" t="s">
        <v>6</v>
      </c>
      <c r="G22" s="34" t="s">
        <v>11</v>
      </c>
      <c r="H22" s="34" t="s">
        <v>14</v>
      </c>
      <c r="I22" s="31" t="s">
        <v>65</v>
      </c>
    </row>
    <row r="23" spans="1:9" ht="12.75" customHeight="1">
      <c r="A23" s="9"/>
      <c r="B23" s="9"/>
      <c r="C23" s="7"/>
      <c r="D23" s="13" t="s">
        <v>85</v>
      </c>
      <c r="E23" s="9">
        <v>1</v>
      </c>
      <c r="F23" s="31" t="s">
        <v>69</v>
      </c>
      <c r="G23" s="31" t="s">
        <v>62</v>
      </c>
      <c r="H23" s="35" t="s">
        <v>74</v>
      </c>
      <c r="I23" s="34" t="s">
        <v>18</v>
      </c>
    </row>
    <row r="24" spans="1:9">
      <c r="A24" s="9">
        <v>16</v>
      </c>
      <c r="B24" s="9"/>
      <c r="C24" s="7" t="s">
        <v>75</v>
      </c>
      <c r="D24" s="13" t="s">
        <v>85</v>
      </c>
      <c r="E24" s="9">
        <v>1</v>
      </c>
      <c r="F24" s="31" t="s">
        <v>69</v>
      </c>
      <c r="G24" s="31" t="s">
        <v>62</v>
      </c>
      <c r="H24" s="35" t="s">
        <v>74</v>
      </c>
      <c r="I24" s="31" t="s">
        <v>74</v>
      </c>
    </row>
    <row r="25" spans="1:9">
      <c r="A25" s="9">
        <v>17</v>
      </c>
      <c r="B25" s="9"/>
      <c r="C25" s="7" t="s">
        <v>75</v>
      </c>
      <c r="D25" s="32" t="s">
        <v>265</v>
      </c>
      <c r="E25" s="9">
        <v>1</v>
      </c>
      <c r="F25" s="31" t="s">
        <v>62</v>
      </c>
      <c r="G25" s="36" t="s">
        <v>74</v>
      </c>
      <c r="H25" s="35" t="s">
        <v>15</v>
      </c>
      <c r="I25" s="31" t="s">
        <v>74</v>
      </c>
    </row>
    <row r="26" spans="1:9">
      <c r="A26" s="9">
        <v>18</v>
      </c>
      <c r="B26" s="9"/>
      <c r="C26" s="7" t="s">
        <v>75</v>
      </c>
      <c r="D26" s="13" t="s">
        <v>86</v>
      </c>
      <c r="E26" s="9">
        <v>1</v>
      </c>
      <c r="F26" s="31" t="s">
        <v>61</v>
      </c>
      <c r="G26" s="31" t="s">
        <v>66</v>
      </c>
      <c r="H26" s="38" t="s">
        <v>6</v>
      </c>
      <c r="I26" s="31" t="s">
        <v>12</v>
      </c>
    </row>
    <row r="27" spans="1:9" ht="12.75" customHeight="1">
      <c r="A27" s="9"/>
      <c r="B27" s="9"/>
      <c r="C27" s="7"/>
      <c r="D27" s="13" t="s">
        <v>86</v>
      </c>
      <c r="E27" s="9">
        <v>1</v>
      </c>
      <c r="F27" s="31" t="s">
        <v>61</v>
      </c>
      <c r="G27" s="31" t="s">
        <v>66</v>
      </c>
      <c r="H27" s="37" t="s">
        <v>6</v>
      </c>
      <c r="I27" s="31" t="s">
        <v>12</v>
      </c>
    </row>
    <row r="28" spans="1:9" ht="12.75" customHeight="1">
      <c r="A28" s="6">
        <v>19</v>
      </c>
      <c r="B28" s="6"/>
      <c r="C28" s="13" t="s">
        <v>75</v>
      </c>
      <c r="D28" s="13" t="s">
        <v>87</v>
      </c>
      <c r="E28" s="6">
        <v>1</v>
      </c>
      <c r="F28" s="34" t="s">
        <v>13</v>
      </c>
      <c r="G28" s="31" t="s">
        <v>11</v>
      </c>
      <c r="H28" s="31" t="s">
        <v>78</v>
      </c>
      <c r="I28" s="31" t="s">
        <v>21</v>
      </c>
    </row>
    <row r="29" spans="1:9">
      <c r="A29" s="9">
        <v>20</v>
      </c>
      <c r="B29" s="9"/>
      <c r="C29" s="7" t="s">
        <v>75</v>
      </c>
      <c r="D29" s="13" t="s">
        <v>88</v>
      </c>
      <c r="E29" s="9">
        <v>1</v>
      </c>
      <c r="F29" s="31" t="s">
        <v>89</v>
      </c>
      <c r="G29" s="31" t="s">
        <v>89</v>
      </c>
      <c r="H29" s="31" t="s">
        <v>89</v>
      </c>
      <c r="I29" s="31" t="s">
        <v>19</v>
      </c>
    </row>
    <row r="30" spans="1:9" ht="30.6">
      <c r="A30" s="9"/>
      <c r="B30" s="9"/>
      <c r="C30" s="7"/>
      <c r="D30" s="32" t="s">
        <v>266</v>
      </c>
      <c r="E30" s="6">
        <v>1</v>
      </c>
      <c r="F30" s="31" t="s">
        <v>89</v>
      </c>
      <c r="G30" s="31" t="s">
        <v>89</v>
      </c>
      <c r="H30" s="31" t="s">
        <v>89</v>
      </c>
      <c r="I30" s="31" t="s">
        <v>21</v>
      </c>
    </row>
    <row r="31" spans="1:9" ht="30.6">
      <c r="A31" s="6">
        <v>21</v>
      </c>
      <c r="B31" s="6"/>
      <c r="C31" s="13" t="s">
        <v>90</v>
      </c>
      <c r="D31" s="32" t="s">
        <v>266</v>
      </c>
      <c r="E31" s="6">
        <v>1</v>
      </c>
      <c r="F31" s="31" t="s">
        <v>89</v>
      </c>
      <c r="G31" s="31" t="s">
        <v>89</v>
      </c>
      <c r="H31" s="31" t="s">
        <v>89</v>
      </c>
      <c r="I31" s="31" t="s">
        <v>20</v>
      </c>
    </row>
    <row r="32" spans="1:9" ht="30.6">
      <c r="A32" s="9">
        <v>22</v>
      </c>
      <c r="B32" s="9"/>
      <c r="C32" s="7" t="s">
        <v>90</v>
      </c>
      <c r="D32" s="13" t="s">
        <v>91</v>
      </c>
      <c r="E32" s="9">
        <v>1</v>
      </c>
      <c r="F32" s="31" t="s">
        <v>89</v>
      </c>
      <c r="G32" s="31" t="s">
        <v>89</v>
      </c>
      <c r="H32" s="31" t="s">
        <v>89</v>
      </c>
      <c r="I32" s="31" t="s">
        <v>25</v>
      </c>
    </row>
    <row r="33" spans="1:9" ht="30.6">
      <c r="A33" s="6">
        <v>23</v>
      </c>
      <c r="B33" s="6"/>
      <c r="C33" s="13" t="s">
        <v>92</v>
      </c>
      <c r="D33" s="13" t="s">
        <v>93</v>
      </c>
      <c r="E33" s="6">
        <v>1</v>
      </c>
      <c r="F33" s="31" t="s">
        <v>94</v>
      </c>
      <c r="G33" s="31" t="s">
        <v>94</v>
      </c>
      <c r="H33" s="31" t="s">
        <v>94</v>
      </c>
      <c r="I33" s="31" t="s">
        <v>16</v>
      </c>
    </row>
    <row r="34" spans="1:9" ht="51">
      <c r="A34" s="6"/>
      <c r="B34" s="6"/>
      <c r="C34" s="13"/>
      <c r="D34" s="13" t="s">
        <v>96</v>
      </c>
      <c r="E34" s="6">
        <v>1</v>
      </c>
      <c r="F34" s="31" t="s">
        <v>6</v>
      </c>
      <c r="G34" s="31" t="s">
        <v>11</v>
      </c>
      <c r="H34" s="31" t="s">
        <v>14</v>
      </c>
      <c r="I34" s="31" t="s">
        <v>16</v>
      </c>
    </row>
    <row r="35" spans="1:9" ht="51">
      <c r="A35" s="6">
        <v>24</v>
      </c>
      <c r="B35" s="6"/>
      <c r="C35" s="13" t="s">
        <v>95</v>
      </c>
      <c r="D35" s="13" t="s">
        <v>96</v>
      </c>
      <c r="E35" s="6">
        <v>1</v>
      </c>
      <c r="F35" s="31" t="s">
        <v>6</v>
      </c>
      <c r="G35" s="31" t="s">
        <v>11</v>
      </c>
      <c r="H35" s="31" t="s">
        <v>14</v>
      </c>
      <c r="I35" s="31" t="s">
        <v>27</v>
      </c>
    </row>
    <row r="36" spans="1:9" ht="20.399999999999999">
      <c r="A36" s="9">
        <v>25</v>
      </c>
      <c r="B36" s="9"/>
      <c r="C36" s="7" t="s">
        <v>95</v>
      </c>
      <c r="D36" s="13" t="s">
        <v>97</v>
      </c>
      <c r="E36" s="9">
        <v>1</v>
      </c>
      <c r="F36" s="31" t="s">
        <v>6</v>
      </c>
      <c r="G36" s="31" t="s">
        <v>98</v>
      </c>
      <c r="H36" s="31" t="s">
        <v>61</v>
      </c>
      <c r="I36" s="34" t="s">
        <v>12</v>
      </c>
    </row>
    <row r="37" spans="1:9" ht="20.399999999999999">
      <c r="A37" s="9">
        <v>26</v>
      </c>
      <c r="B37" s="9"/>
      <c r="C37" s="7" t="s">
        <v>99</v>
      </c>
      <c r="D37" s="13" t="s">
        <v>100</v>
      </c>
      <c r="E37" s="9">
        <v>1</v>
      </c>
      <c r="F37" s="31" t="s">
        <v>11</v>
      </c>
      <c r="G37" s="31" t="s">
        <v>6</v>
      </c>
      <c r="H37" s="31" t="s">
        <v>61</v>
      </c>
      <c r="I37" s="31" t="s">
        <v>17</v>
      </c>
    </row>
    <row r="38" spans="1:9">
      <c r="A38" s="9">
        <v>27</v>
      </c>
      <c r="B38" s="9"/>
      <c r="C38" s="7" t="s">
        <v>101</v>
      </c>
      <c r="D38" s="13" t="s">
        <v>102</v>
      </c>
      <c r="E38" s="9">
        <v>1</v>
      </c>
      <c r="F38" s="35" t="s">
        <v>56</v>
      </c>
      <c r="G38" s="35" t="s">
        <v>56</v>
      </c>
      <c r="H38" s="35" t="s">
        <v>56</v>
      </c>
      <c r="I38" s="35" t="s">
        <v>56</v>
      </c>
    </row>
    <row r="39" spans="1:9" ht="20.399999999999999">
      <c r="A39" s="91">
        <v>28</v>
      </c>
      <c r="B39" s="91"/>
      <c r="C39" s="30" t="s">
        <v>270</v>
      </c>
      <c r="D39" s="13" t="s">
        <v>272</v>
      </c>
      <c r="E39" s="29">
        <v>1</v>
      </c>
      <c r="F39" s="33" t="s">
        <v>267</v>
      </c>
      <c r="G39" s="33" t="s">
        <v>267</v>
      </c>
      <c r="H39" s="33" t="s">
        <v>267</v>
      </c>
      <c r="I39" s="33" t="s">
        <v>267</v>
      </c>
    </row>
    <row r="40" spans="1:9" ht="30.6">
      <c r="A40" s="91">
        <v>29</v>
      </c>
      <c r="B40" s="91"/>
      <c r="C40" s="30" t="s">
        <v>273</v>
      </c>
      <c r="D40" s="13" t="s">
        <v>273</v>
      </c>
      <c r="E40" s="29">
        <v>1</v>
      </c>
      <c r="F40" s="33" t="s">
        <v>267</v>
      </c>
      <c r="G40" s="33" t="s">
        <v>267</v>
      </c>
      <c r="H40" s="33" t="s">
        <v>267</v>
      </c>
      <c r="I40" s="33" t="s">
        <v>267</v>
      </c>
    </row>
    <row r="41" spans="1:9" ht="30.6">
      <c r="A41" s="91">
        <v>30</v>
      </c>
      <c r="B41" s="91"/>
      <c r="C41" s="30" t="s">
        <v>273</v>
      </c>
      <c r="D41" s="13" t="s">
        <v>273</v>
      </c>
      <c r="E41" s="29">
        <v>1</v>
      </c>
      <c r="F41" s="33" t="s">
        <v>267</v>
      </c>
      <c r="G41" s="33" t="s">
        <v>267</v>
      </c>
      <c r="H41" s="33" t="s">
        <v>267</v>
      </c>
      <c r="I41" s="33" t="s">
        <v>267</v>
      </c>
    </row>
    <row r="42" spans="1:9">
      <c r="A42" s="91"/>
      <c r="B42" s="91"/>
      <c r="C42" s="30" t="s">
        <v>274</v>
      </c>
      <c r="D42" s="13" t="s">
        <v>274</v>
      </c>
      <c r="E42" s="29">
        <v>1</v>
      </c>
      <c r="F42" s="33" t="s">
        <v>267</v>
      </c>
      <c r="G42" s="33" t="s">
        <v>267</v>
      </c>
      <c r="H42" s="33" t="s">
        <v>267</v>
      </c>
      <c r="I42" s="33" t="s">
        <v>267</v>
      </c>
    </row>
    <row r="43" spans="1:9" ht="40.799999999999997">
      <c r="A43" s="91"/>
      <c r="B43" s="91"/>
      <c r="C43" s="30" t="s">
        <v>275</v>
      </c>
      <c r="D43" s="13" t="s">
        <v>275</v>
      </c>
      <c r="E43" s="29">
        <v>1</v>
      </c>
      <c r="F43" s="33" t="s">
        <v>267</v>
      </c>
      <c r="G43" s="33" t="s">
        <v>267</v>
      </c>
      <c r="H43" s="33" t="s">
        <v>267</v>
      </c>
      <c r="I43" s="33" t="s">
        <v>267</v>
      </c>
    </row>
    <row r="44" spans="1:9" ht="40.799999999999997">
      <c r="A44" s="91"/>
      <c r="B44" s="91"/>
      <c r="C44" s="30" t="s">
        <v>275</v>
      </c>
      <c r="D44" s="13" t="s">
        <v>275</v>
      </c>
      <c r="E44" s="29">
        <v>1</v>
      </c>
      <c r="F44" s="33" t="s">
        <v>267</v>
      </c>
      <c r="G44" s="33" t="s">
        <v>267</v>
      </c>
      <c r="H44" s="33" t="s">
        <v>267</v>
      </c>
      <c r="I44" s="33" t="s">
        <v>267</v>
      </c>
    </row>
    <row r="45" spans="1:9">
      <c r="A45" s="9">
        <v>7</v>
      </c>
      <c r="B45" s="9"/>
      <c r="C45" s="12" t="s">
        <v>276</v>
      </c>
      <c r="D45" s="13" t="s">
        <v>104</v>
      </c>
      <c r="E45" s="9">
        <v>1</v>
      </c>
      <c r="F45" s="37" t="s">
        <v>56</v>
      </c>
      <c r="G45" s="37" t="s">
        <v>56</v>
      </c>
      <c r="H45" s="37" t="s">
        <v>56</v>
      </c>
      <c r="I45" s="31" t="s">
        <v>65</v>
      </c>
    </row>
    <row r="46" spans="1:9">
      <c r="A46" s="189">
        <v>1</v>
      </c>
      <c r="B46" s="87"/>
      <c r="C46" s="210" t="s">
        <v>105</v>
      </c>
      <c r="D46" s="13" t="s">
        <v>106</v>
      </c>
      <c r="E46" s="14">
        <v>1</v>
      </c>
      <c r="F46" s="31" t="s">
        <v>74</v>
      </c>
      <c r="G46" s="31" t="s">
        <v>65</v>
      </c>
      <c r="H46" s="31" t="s">
        <v>17</v>
      </c>
      <c r="I46" s="34" t="s">
        <v>18</v>
      </c>
    </row>
    <row r="47" spans="1:9" ht="30.6">
      <c r="A47" s="190"/>
      <c r="B47" s="88"/>
      <c r="C47" s="211"/>
      <c r="D47" s="40" t="s">
        <v>107</v>
      </c>
      <c r="E47" s="14">
        <v>1</v>
      </c>
      <c r="F47" s="31" t="s">
        <v>65</v>
      </c>
      <c r="G47" s="34" t="s">
        <v>18</v>
      </c>
      <c r="H47" s="31" t="s">
        <v>108</v>
      </c>
      <c r="I47" s="31" t="s">
        <v>74</v>
      </c>
    </row>
    <row r="48" spans="1:9" ht="20.399999999999999">
      <c r="A48" s="190"/>
      <c r="B48" s="88"/>
      <c r="C48" s="211"/>
      <c r="D48" s="13" t="s">
        <v>109</v>
      </c>
      <c r="E48" s="14">
        <v>1</v>
      </c>
      <c r="F48" s="31" t="s">
        <v>17</v>
      </c>
      <c r="G48" s="31" t="s">
        <v>74</v>
      </c>
      <c r="H48" s="31" t="s">
        <v>65</v>
      </c>
      <c r="I48" s="31" t="s">
        <v>74</v>
      </c>
    </row>
    <row r="49" spans="1:9" ht="20.399999999999999">
      <c r="A49" s="191"/>
      <c r="B49" s="89"/>
      <c r="C49" s="212"/>
      <c r="D49" s="13" t="s">
        <v>109</v>
      </c>
      <c r="E49" s="14">
        <v>1</v>
      </c>
      <c r="F49" s="31" t="s">
        <v>17</v>
      </c>
      <c r="G49" s="31" t="s">
        <v>74</v>
      </c>
      <c r="H49" s="31" t="s">
        <v>65</v>
      </c>
      <c r="I49" s="31" t="s">
        <v>12</v>
      </c>
    </row>
    <row r="50" spans="1:9" ht="20.399999999999999">
      <c r="A50" s="88"/>
      <c r="B50" s="88"/>
      <c r="C50" s="95"/>
      <c r="D50" s="13" t="s">
        <v>111</v>
      </c>
      <c r="E50" s="14">
        <v>1</v>
      </c>
      <c r="F50" s="31" t="s">
        <v>19</v>
      </c>
      <c r="G50" s="31" t="s">
        <v>12</v>
      </c>
      <c r="H50" s="31" t="s">
        <v>7</v>
      </c>
      <c r="I50" s="31" t="s">
        <v>12</v>
      </c>
    </row>
    <row r="51" spans="1:9" ht="20.399999999999999">
      <c r="A51" s="189">
        <v>2</v>
      </c>
      <c r="B51" s="87"/>
      <c r="C51" s="223" t="s">
        <v>110</v>
      </c>
      <c r="D51" s="13" t="s">
        <v>111</v>
      </c>
      <c r="E51" s="14">
        <v>1</v>
      </c>
      <c r="F51" s="31" t="s">
        <v>19</v>
      </c>
      <c r="G51" s="31" t="s">
        <v>12</v>
      </c>
      <c r="H51" s="31" t="s">
        <v>7</v>
      </c>
      <c r="I51" s="31" t="s">
        <v>21</v>
      </c>
    </row>
    <row r="52" spans="1:9" ht="20.399999999999999">
      <c r="A52" s="190"/>
      <c r="B52" s="88"/>
      <c r="C52" s="224"/>
      <c r="D52" s="13" t="s">
        <v>112</v>
      </c>
      <c r="E52" s="14">
        <v>1</v>
      </c>
      <c r="F52" s="31" t="s">
        <v>20</v>
      </c>
      <c r="G52" s="31" t="s">
        <v>21</v>
      </c>
      <c r="H52" s="31" t="s">
        <v>12</v>
      </c>
      <c r="I52" s="31" t="s">
        <v>19</v>
      </c>
    </row>
    <row r="53" spans="1:9" ht="20.399999999999999">
      <c r="A53" s="190"/>
      <c r="B53" s="88"/>
      <c r="C53" s="224"/>
      <c r="D53" s="13" t="s">
        <v>113</v>
      </c>
      <c r="E53" s="14">
        <v>1</v>
      </c>
      <c r="F53" s="31" t="s">
        <v>22</v>
      </c>
      <c r="G53" s="31" t="s">
        <v>19</v>
      </c>
      <c r="H53" s="31" t="s">
        <v>23</v>
      </c>
      <c r="I53" s="31" t="s">
        <v>21</v>
      </c>
    </row>
    <row r="54" spans="1:9">
      <c r="A54" s="190"/>
      <c r="B54" s="88"/>
      <c r="C54" s="224"/>
      <c r="D54" s="13" t="s">
        <v>114</v>
      </c>
      <c r="E54" s="14">
        <v>1</v>
      </c>
      <c r="F54" s="31" t="s">
        <v>9</v>
      </c>
      <c r="G54" s="31" t="s">
        <v>21</v>
      </c>
      <c r="H54" s="31" t="s">
        <v>24</v>
      </c>
      <c r="I54" s="31" t="s">
        <v>20</v>
      </c>
    </row>
    <row r="55" spans="1:9">
      <c r="A55" s="190"/>
      <c r="B55" s="88"/>
      <c r="C55" s="224"/>
      <c r="D55" s="13" t="s">
        <v>115</v>
      </c>
      <c r="E55" s="14">
        <v>1</v>
      </c>
      <c r="F55" s="31" t="s">
        <v>24</v>
      </c>
      <c r="G55" s="31" t="s">
        <v>20</v>
      </c>
      <c r="H55" s="31" t="s">
        <v>25</v>
      </c>
      <c r="I55" s="31" t="s">
        <v>25</v>
      </c>
    </row>
    <row r="56" spans="1:9">
      <c r="A56" s="190"/>
      <c r="B56" s="88"/>
      <c r="C56" s="224"/>
      <c r="D56" s="13" t="s">
        <v>116</v>
      </c>
      <c r="E56" s="14">
        <v>1</v>
      </c>
      <c r="F56" s="31" t="s">
        <v>12</v>
      </c>
      <c r="G56" s="31" t="s">
        <v>25</v>
      </c>
      <c r="H56" s="31" t="s">
        <v>20</v>
      </c>
      <c r="I56" s="31" t="s">
        <v>16</v>
      </c>
    </row>
    <row r="57" spans="1:9" ht="20.399999999999999">
      <c r="A57" s="190"/>
      <c r="B57" s="88"/>
      <c r="C57" s="224"/>
      <c r="D57" s="13" t="s">
        <v>117</v>
      </c>
      <c r="E57" s="14">
        <v>1</v>
      </c>
      <c r="F57" s="31" t="s">
        <v>18</v>
      </c>
      <c r="G57" s="31" t="s">
        <v>16</v>
      </c>
      <c r="H57" s="31" t="s">
        <v>26</v>
      </c>
      <c r="I57" s="31" t="s">
        <v>16</v>
      </c>
    </row>
    <row r="58" spans="1:9" ht="20.399999999999999">
      <c r="A58" s="190"/>
      <c r="B58" s="88"/>
      <c r="C58" s="224"/>
      <c r="D58" s="13" t="s">
        <v>117</v>
      </c>
      <c r="E58" s="14">
        <v>1</v>
      </c>
      <c r="F58" s="31" t="s">
        <v>18</v>
      </c>
      <c r="G58" s="31" t="s">
        <v>16</v>
      </c>
      <c r="H58" s="31" t="s">
        <v>26</v>
      </c>
      <c r="I58" s="31" t="s">
        <v>27</v>
      </c>
    </row>
    <row r="59" spans="1:9" ht="30.6">
      <c r="A59" s="191"/>
      <c r="B59" s="89"/>
      <c r="C59" s="225"/>
      <c r="D59" s="13" t="s">
        <v>118</v>
      </c>
      <c r="E59" s="15">
        <v>1</v>
      </c>
      <c r="F59" s="31" t="s">
        <v>19</v>
      </c>
      <c r="G59" s="31" t="s">
        <v>27</v>
      </c>
      <c r="H59" s="31" t="s">
        <v>16</v>
      </c>
      <c r="I59" s="34" t="s">
        <v>12</v>
      </c>
    </row>
    <row r="60" spans="1:9">
      <c r="A60" s="207"/>
      <c r="B60" s="98"/>
      <c r="C60" s="207"/>
      <c r="D60" s="13" t="s">
        <v>119</v>
      </c>
      <c r="E60" s="14">
        <v>1</v>
      </c>
      <c r="F60" s="31" t="s">
        <v>74</v>
      </c>
      <c r="G60" s="34" t="s">
        <v>12</v>
      </c>
      <c r="H60" s="34" t="s">
        <v>19</v>
      </c>
      <c r="I60" s="31" t="s">
        <v>17</v>
      </c>
    </row>
    <row r="61" spans="1:9" ht="30.6">
      <c r="A61" s="208"/>
      <c r="B61" s="100"/>
      <c r="C61" s="208"/>
      <c r="D61" s="40" t="s">
        <v>120</v>
      </c>
      <c r="E61" s="14">
        <v>1</v>
      </c>
      <c r="F61" s="31" t="s">
        <v>74</v>
      </c>
      <c r="G61" s="31" t="s">
        <v>17</v>
      </c>
      <c r="H61" s="34" t="s">
        <v>12</v>
      </c>
      <c r="I61" s="31" t="s">
        <v>17</v>
      </c>
    </row>
    <row r="62" spans="1:9" ht="30.6">
      <c r="A62" s="216">
        <v>3</v>
      </c>
      <c r="B62" s="92"/>
      <c r="C62" s="230" t="s">
        <v>121</v>
      </c>
      <c r="D62" s="32" t="s">
        <v>28</v>
      </c>
      <c r="E62" s="14">
        <v>1</v>
      </c>
      <c r="F62" s="31" t="s">
        <v>69</v>
      </c>
      <c r="G62" s="31" t="s">
        <v>12</v>
      </c>
      <c r="H62" s="31" t="s">
        <v>122</v>
      </c>
      <c r="I62" s="31" t="s">
        <v>12</v>
      </c>
    </row>
    <row r="63" spans="1:9" ht="30.6">
      <c r="A63" s="216"/>
      <c r="B63" s="92"/>
      <c r="C63" s="230"/>
      <c r="D63" s="32" t="s">
        <v>29</v>
      </c>
      <c r="E63" s="14">
        <v>1</v>
      </c>
      <c r="F63" s="34" t="s">
        <v>21</v>
      </c>
      <c r="G63" s="31" t="s">
        <v>123</v>
      </c>
      <c r="H63" s="34" t="s">
        <v>25</v>
      </c>
      <c r="I63" s="31" t="s">
        <v>123</v>
      </c>
    </row>
    <row r="64" spans="1:9" ht="30.6">
      <c r="A64" s="216"/>
      <c r="B64" s="92"/>
      <c r="C64" s="230"/>
      <c r="D64" s="32" t="s">
        <v>30</v>
      </c>
      <c r="E64" s="14">
        <v>1</v>
      </c>
      <c r="F64" s="34" t="s">
        <v>24</v>
      </c>
      <c r="G64" s="34" t="s">
        <v>19</v>
      </c>
      <c r="H64" s="31" t="s">
        <v>122</v>
      </c>
      <c r="I64" s="34" t="s">
        <v>19</v>
      </c>
    </row>
    <row r="65" spans="1:9" ht="40.799999999999997">
      <c r="A65" s="216"/>
      <c r="B65" s="92"/>
      <c r="C65" s="230"/>
      <c r="D65" s="32" t="s">
        <v>31</v>
      </c>
      <c r="E65" s="14">
        <v>1</v>
      </c>
      <c r="F65" s="34" t="s">
        <v>12</v>
      </c>
      <c r="G65" s="34" t="s">
        <v>25</v>
      </c>
      <c r="H65" s="31" t="s">
        <v>124</v>
      </c>
      <c r="I65" s="34" t="s">
        <v>25</v>
      </c>
    </row>
    <row r="66" spans="1:9">
      <c r="A66" s="216"/>
      <c r="B66" s="92"/>
      <c r="C66" s="230"/>
      <c r="D66" s="13" t="s">
        <v>125</v>
      </c>
      <c r="E66" s="14">
        <v>1</v>
      </c>
      <c r="F66" s="31" t="s">
        <v>63</v>
      </c>
      <c r="G66" s="31" t="s">
        <v>122</v>
      </c>
      <c r="H66" s="31" t="s">
        <v>69</v>
      </c>
      <c r="I66" s="31" t="s">
        <v>122</v>
      </c>
    </row>
    <row r="67" spans="1:9">
      <c r="A67" s="216"/>
      <c r="B67" s="92"/>
      <c r="C67" s="230"/>
      <c r="D67" s="13" t="s">
        <v>125</v>
      </c>
      <c r="E67" s="14">
        <v>1</v>
      </c>
      <c r="F67" s="31" t="s">
        <v>63</v>
      </c>
      <c r="G67" s="31" t="s">
        <v>122</v>
      </c>
      <c r="H67" s="31" t="s">
        <v>69</v>
      </c>
      <c r="I67" s="31" t="s">
        <v>122</v>
      </c>
    </row>
    <row r="68" spans="1:9" ht="20.399999999999999">
      <c r="A68" s="189">
        <v>4</v>
      </c>
      <c r="B68" s="87"/>
      <c r="C68" s="228" t="s">
        <v>126</v>
      </c>
      <c r="D68" s="13" t="s">
        <v>127</v>
      </c>
      <c r="E68" s="14">
        <v>1</v>
      </c>
      <c r="F68" s="34" t="s">
        <v>12</v>
      </c>
      <c r="G68" s="31" t="s">
        <v>65</v>
      </c>
      <c r="H68" s="31" t="s">
        <v>124</v>
      </c>
      <c r="I68" s="31" t="s">
        <v>65</v>
      </c>
    </row>
    <row r="69" spans="1:9" ht="20.399999999999999">
      <c r="A69" s="190"/>
      <c r="B69" s="88"/>
      <c r="C69" s="229"/>
      <c r="D69" s="13" t="s">
        <v>127</v>
      </c>
      <c r="E69" s="14">
        <v>1</v>
      </c>
      <c r="F69" s="34" t="s">
        <v>12</v>
      </c>
      <c r="G69" s="31" t="s">
        <v>65</v>
      </c>
      <c r="H69" s="31" t="s">
        <v>124</v>
      </c>
      <c r="I69" s="31" t="s">
        <v>19</v>
      </c>
    </row>
    <row r="70" spans="1:9" ht="20.399999999999999">
      <c r="A70" s="190"/>
      <c r="B70" s="88"/>
      <c r="C70" s="229"/>
      <c r="D70" s="13" t="s">
        <v>128</v>
      </c>
      <c r="E70" s="14">
        <v>1</v>
      </c>
      <c r="F70" s="31" t="s">
        <v>69</v>
      </c>
      <c r="G70" s="34" t="s">
        <v>18</v>
      </c>
      <c r="H70" s="31" t="s">
        <v>124</v>
      </c>
      <c r="I70" s="31" t="s">
        <v>21</v>
      </c>
    </row>
    <row r="71" spans="1:9" ht="20.399999999999999">
      <c r="A71" s="190"/>
      <c r="B71" s="88"/>
      <c r="C71" s="229"/>
      <c r="D71" s="13" t="s">
        <v>129</v>
      </c>
      <c r="E71" s="14">
        <v>1</v>
      </c>
      <c r="F71" s="31" t="s">
        <v>122</v>
      </c>
      <c r="G71" s="34" t="s">
        <v>25</v>
      </c>
      <c r="H71" s="31" t="s">
        <v>123</v>
      </c>
      <c r="I71" s="31" t="s">
        <v>20</v>
      </c>
    </row>
    <row r="72" spans="1:9" ht="20.399999999999999">
      <c r="A72" s="190"/>
      <c r="B72" s="88"/>
      <c r="C72" s="229"/>
      <c r="D72" s="13" t="s">
        <v>130</v>
      </c>
      <c r="E72" s="14">
        <v>1</v>
      </c>
      <c r="F72" s="31" t="s">
        <v>123</v>
      </c>
      <c r="G72" s="34" t="s">
        <v>19</v>
      </c>
      <c r="H72" s="34" t="s">
        <v>12</v>
      </c>
      <c r="I72" s="31" t="s">
        <v>25</v>
      </c>
    </row>
    <row r="73" spans="1:9" ht="20.399999999999999">
      <c r="A73" s="190"/>
      <c r="B73" s="88"/>
      <c r="C73" s="229"/>
      <c r="D73" s="13" t="s">
        <v>131</v>
      </c>
      <c r="E73" s="14">
        <v>1</v>
      </c>
      <c r="F73" s="31" t="s">
        <v>108</v>
      </c>
      <c r="G73" s="34" t="s">
        <v>19</v>
      </c>
      <c r="H73" s="31" t="s">
        <v>132</v>
      </c>
      <c r="I73" s="31" t="s">
        <v>16</v>
      </c>
    </row>
    <row r="74" spans="1:9">
      <c r="A74" s="190"/>
      <c r="B74" s="88"/>
      <c r="C74" s="229"/>
      <c r="D74" s="13" t="s">
        <v>133</v>
      </c>
      <c r="E74" s="14">
        <v>1</v>
      </c>
      <c r="F74" s="34" t="s">
        <v>19</v>
      </c>
      <c r="G74" s="31" t="s">
        <v>69</v>
      </c>
      <c r="H74" s="34" t="s">
        <v>27</v>
      </c>
      <c r="I74" s="31" t="s">
        <v>16</v>
      </c>
    </row>
    <row r="75" spans="1:9" ht="20.399999999999999">
      <c r="A75" s="190"/>
      <c r="B75" s="88"/>
      <c r="C75" s="229"/>
      <c r="D75" s="13" t="s">
        <v>134</v>
      </c>
      <c r="E75" s="14">
        <v>1</v>
      </c>
      <c r="F75" s="34" t="s">
        <v>12</v>
      </c>
      <c r="G75" s="31" t="s">
        <v>135</v>
      </c>
      <c r="H75" s="34" t="s">
        <v>19</v>
      </c>
      <c r="I75" s="31" t="s">
        <v>27</v>
      </c>
    </row>
    <row r="76" spans="1:9" ht="30.6">
      <c r="A76" s="191"/>
      <c r="B76" s="89"/>
      <c r="C76" s="197"/>
      <c r="D76" s="40" t="s">
        <v>136</v>
      </c>
      <c r="E76" s="14">
        <v>1</v>
      </c>
      <c r="F76" s="31" t="s">
        <v>62</v>
      </c>
      <c r="G76" s="34" t="s">
        <v>12</v>
      </c>
      <c r="H76" s="31" t="s">
        <v>74</v>
      </c>
      <c r="I76" s="34" t="s">
        <v>12</v>
      </c>
    </row>
    <row r="77" spans="1:9" ht="40.799999999999997">
      <c r="A77" s="88"/>
      <c r="B77" s="88"/>
      <c r="C77" s="101"/>
      <c r="D77" s="13" t="s">
        <v>137</v>
      </c>
      <c r="E77" s="15">
        <v>1</v>
      </c>
      <c r="F77" s="8" t="s">
        <v>138</v>
      </c>
      <c r="G77" s="8" t="s">
        <v>138</v>
      </c>
      <c r="H77" s="8" t="s">
        <v>138</v>
      </c>
      <c r="I77" s="31" t="s">
        <v>17</v>
      </c>
    </row>
    <row r="78" spans="1:9" ht="40.799999999999997">
      <c r="A78" s="88"/>
      <c r="B78" s="88"/>
      <c r="C78" s="101"/>
      <c r="D78" s="13" t="s">
        <v>137</v>
      </c>
      <c r="E78" s="15">
        <v>1</v>
      </c>
      <c r="F78" s="8" t="s">
        <v>138</v>
      </c>
      <c r="G78" s="8" t="s">
        <v>138</v>
      </c>
      <c r="H78" s="8" t="s">
        <v>138</v>
      </c>
      <c r="I78" s="31" t="s">
        <v>17</v>
      </c>
    </row>
    <row r="79" spans="1:9">
      <c r="A79" s="100"/>
      <c r="B79" s="100"/>
      <c r="C79" s="100"/>
      <c r="D79" s="7" t="s">
        <v>139</v>
      </c>
      <c r="E79" s="14">
        <v>3</v>
      </c>
      <c r="F79" s="5" t="s">
        <v>138</v>
      </c>
      <c r="G79" s="5" t="s">
        <v>138</v>
      </c>
      <c r="H79" s="5" t="s">
        <v>138</v>
      </c>
      <c r="I79" s="31" t="s">
        <v>12</v>
      </c>
    </row>
    <row r="80" spans="1:9">
      <c r="A80" s="100"/>
      <c r="B80" s="100"/>
      <c r="C80" s="100"/>
      <c r="D80" s="7" t="s">
        <v>139</v>
      </c>
      <c r="E80" s="14">
        <v>3</v>
      </c>
      <c r="F80" s="5" t="s">
        <v>138</v>
      </c>
      <c r="G80" s="5" t="s">
        <v>138</v>
      </c>
      <c r="H80" s="5" t="s">
        <v>138</v>
      </c>
      <c r="I80" s="31" t="s">
        <v>123</v>
      </c>
    </row>
    <row r="81" spans="1:9">
      <c r="A81" s="100"/>
      <c r="B81" s="100"/>
      <c r="C81" s="100"/>
      <c r="D81" s="7" t="s">
        <v>139</v>
      </c>
      <c r="E81" s="14">
        <v>3</v>
      </c>
      <c r="F81" s="5" t="s">
        <v>138</v>
      </c>
      <c r="G81" s="5" t="s">
        <v>138</v>
      </c>
      <c r="H81" s="5" t="s">
        <v>138</v>
      </c>
      <c r="I81" s="34" t="s">
        <v>19</v>
      </c>
    </row>
    <row r="82" spans="1:9">
      <c r="A82" s="216">
        <v>5</v>
      </c>
      <c r="B82" s="92"/>
      <c r="C82" s="218" t="s">
        <v>103</v>
      </c>
      <c r="D82" s="13" t="s">
        <v>140</v>
      </c>
      <c r="E82" s="15">
        <v>3</v>
      </c>
      <c r="F82" s="8" t="s">
        <v>138</v>
      </c>
      <c r="G82" s="8" t="s">
        <v>138</v>
      </c>
      <c r="H82" s="8" t="s">
        <v>138</v>
      </c>
      <c r="I82" s="34" t="s">
        <v>25</v>
      </c>
    </row>
    <row r="83" spans="1:9">
      <c r="A83" s="216"/>
      <c r="B83" s="92"/>
      <c r="C83" s="218"/>
      <c r="D83" s="13" t="s">
        <v>140</v>
      </c>
      <c r="E83" s="15">
        <v>3</v>
      </c>
      <c r="F83" s="8" t="s">
        <v>138</v>
      </c>
      <c r="G83" s="8" t="s">
        <v>138</v>
      </c>
      <c r="H83" s="8" t="s">
        <v>138</v>
      </c>
      <c r="I83" s="31" t="s">
        <v>122</v>
      </c>
    </row>
    <row r="84" spans="1:9">
      <c r="A84" s="216"/>
      <c r="B84" s="92"/>
      <c r="C84" s="218"/>
      <c r="D84" s="13" t="s">
        <v>140</v>
      </c>
      <c r="E84" s="15">
        <v>3</v>
      </c>
      <c r="F84" s="8" t="s">
        <v>138</v>
      </c>
      <c r="G84" s="8" t="s">
        <v>138</v>
      </c>
      <c r="H84" s="8" t="s">
        <v>138</v>
      </c>
      <c r="I84" s="31" t="s">
        <v>122</v>
      </c>
    </row>
    <row r="85" spans="1:9" ht="30.6">
      <c r="A85" s="216"/>
      <c r="B85" s="92"/>
      <c r="C85" s="218"/>
      <c r="D85" s="10" t="s">
        <v>141</v>
      </c>
      <c r="E85" s="14">
        <v>3</v>
      </c>
      <c r="F85" s="5" t="s">
        <v>138</v>
      </c>
      <c r="G85" s="5" t="s">
        <v>138</v>
      </c>
      <c r="H85" s="5" t="s">
        <v>138</v>
      </c>
      <c r="I85" s="31" t="s">
        <v>65</v>
      </c>
    </row>
    <row r="86" spans="1:9" ht="30.6">
      <c r="A86" s="216"/>
      <c r="B86" s="92"/>
      <c r="C86" s="218"/>
      <c r="D86" s="10" t="s">
        <v>141</v>
      </c>
      <c r="E86" s="14">
        <v>3</v>
      </c>
      <c r="F86" s="5" t="s">
        <v>138</v>
      </c>
      <c r="G86" s="5" t="s">
        <v>138</v>
      </c>
      <c r="H86" s="5" t="s">
        <v>138</v>
      </c>
      <c r="I86" s="5" t="s">
        <v>138</v>
      </c>
    </row>
    <row r="87" spans="1:9" ht="30.6">
      <c r="A87" s="216"/>
      <c r="B87" s="92"/>
      <c r="C87" s="218"/>
      <c r="D87" s="10" t="s">
        <v>141</v>
      </c>
      <c r="E87" s="14">
        <v>3</v>
      </c>
      <c r="F87" s="5" t="s">
        <v>138</v>
      </c>
      <c r="G87" s="5" t="s">
        <v>138</v>
      </c>
      <c r="H87" s="5" t="s">
        <v>138</v>
      </c>
      <c r="I87" s="5" t="s">
        <v>138</v>
      </c>
    </row>
    <row r="88" spans="1:9">
      <c r="A88" s="217"/>
      <c r="B88" s="93"/>
      <c r="C88" s="219"/>
      <c r="D88" s="7" t="s">
        <v>142</v>
      </c>
      <c r="E88" s="14">
        <v>3</v>
      </c>
      <c r="F88" s="5" t="s">
        <v>138</v>
      </c>
      <c r="G88" s="5" t="s">
        <v>138</v>
      </c>
      <c r="H88" s="5" t="s">
        <v>138</v>
      </c>
      <c r="I88" s="5" t="s">
        <v>138</v>
      </c>
    </row>
    <row r="89" spans="1:9">
      <c r="A89" s="92"/>
      <c r="B89" s="93"/>
      <c r="C89" s="94"/>
      <c r="D89" s="7" t="s">
        <v>142</v>
      </c>
      <c r="E89" s="14">
        <v>3</v>
      </c>
      <c r="F89" s="5" t="s">
        <v>138</v>
      </c>
      <c r="G89" s="5" t="s">
        <v>138</v>
      </c>
      <c r="H89" s="5" t="s">
        <v>138</v>
      </c>
      <c r="I89" s="5" t="s">
        <v>138</v>
      </c>
    </row>
    <row r="90" spans="1:9">
      <c r="A90" s="92"/>
      <c r="B90" s="93"/>
      <c r="C90" s="94"/>
      <c r="D90" s="7" t="s">
        <v>142</v>
      </c>
      <c r="E90" s="14">
        <v>3</v>
      </c>
      <c r="F90" s="5" t="s">
        <v>138</v>
      </c>
      <c r="G90" s="5" t="s">
        <v>138</v>
      </c>
      <c r="H90" s="5" t="s">
        <v>138</v>
      </c>
      <c r="I90" s="5" t="s">
        <v>138</v>
      </c>
    </row>
    <row r="91" spans="1:9" ht="30.6">
      <c r="A91" s="189">
        <v>6</v>
      </c>
      <c r="B91" s="87"/>
      <c r="C91" s="210" t="s">
        <v>103</v>
      </c>
      <c r="D91" s="10" t="s">
        <v>143</v>
      </c>
      <c r="E91" s="14">
        <v>3</v>
      </c>
      <c r="F91" s="5" t="s">
        <v>138</v>
      </c>
      <c r="G91" s="5" t="s">
        <v>138</v>
      </c>
      <c r="H91" s="5" t="s">
        <v>138</v>
      </c>
      <c r="I91" s="5" t="s">
        <v>138</v>
      </c>
    </row>
    <row r="92" spans="1:9" ht="30.6">
      <c r="A92" s="190"/>
      <c r="B92" s="87"/>
      <c r="C92" s="211"/>
      <c r="D92" s="10" t="s">
        <v>143</v>
      </c>
      <c r="E92" s="14">
        <v>3</v>
      </c>
      <c r="F92" s="5" t="s">
        <v>138</v>
      </c>
      <c r="G92" s="5" t="s">
        <v>138</v>
      </c>
      <c r="H92" s="5" t="s">
        <v>138</v>
      </c>
      <c r="I92" s="5" t="s">
        <v>138</v>
      </c>
    </row>
    <row r="93" spans="1:9" ht="30.6">
      <c r="A93" s="190"/>
      <c r="B93" s="87"/>
      <c r="C93" s="211"/>
      <c r="D93" s="10" t="s">
        <v>143</v>
      </c>
      <c r="E93" s="14">
        <v>3</v>
      </c>
      <c r="F93" s="5" t="s">
        <v>138</v>
      </c>
      <c r="G93" s="5" t="s">
        <v>138</v>
      </c>
      <c r="H93" s="5" t="s">
        <v>138</v>
      </c>
      <c r="I93" s="5" t="s">
        <v>138</v>
      </c>
    </row>
    <row r="94" spans="1:9" ht="30.6">
      <c r="A94" s="191"/>
      <c r="B94" s="89"/>
      <c r="C94" s="212"/>
      <c r="D94" s="10" t="s">
        <v>144</v>
      </c>
      <c r="E94" s="14">
        <v>3</v>
      </c>
      <c r="F94" s="5" t="s">
        <v>138</v>
      </c>
      <c r="G94" s="5" t="s">
        <v>138</v>
      </c>
      <c r="H94" s="5" t="s">
        <v>138</v>
      </c>
      <c r="I94" s="5" t="s">
        <v>138</v>
      </c>
    </row>
    <row r="95" spans="1:9" ht="30.6">
      <c r="A95" s="88"/>
      <c r="B95" s="89"/>
      <c r="C95" s="95"/>
      <c r="D95" s="10" t="s">
        <v>144</v>
      </c>
      <c r="E95" s="14">
        <v>3</v>
      </c>
      <c r="F95" s="5" t="s">
        <v>138</v>
      </c>
      <c r="G95" s="5" t="s">
        <v>138</v>
      </c>
      <c r="H95" s="5" t="s">
        <v>138</v>
      </c>
      <c r="I95" s="5" t="s">
        <v>138</v>
      </c>
    </row>
    <row r="96" spans="1:9" ht="30.6">
      <c r="A96" s="88"/>
      <c r="B96" s="89"/>
      <c r="C96" s="95"/>
      <c r="D96" s="10" t="s">
        <v>144</v>
      </c>
      <c r="E96" s="14">
        <v>3</v>
      </c>
      <c r="F96" s="5" t="s">
        <v>138</v>
      </c>
      <c r="G96" s="5" t="s">
        <v>138</v>
      </c>
      <c r="H96" s="5" t="s">
        <v>138</v>
      </c>
      <c r="I96" s="5" t="s">
        <v>138</v>
      </c>
    </row>
    <row r="97" spans="1:9" ht="51">
      <c r="A97" s="189">
        <v>7</v>
      </c>
      <c r="B97" s="87"/>
      <c r="C97" s="210" t="s">
        <v>145</v>
      </c>
      <c r="D97" s="10" t="s">
        <v>146</v>
      </c>
      <c r="E97" s="15">
        <v>2</v>
      </c>
      <c r="F97" s="8" t="s">
        <v>147</v>
      </c>
      <c r="G97" s="8" t="s">
        <v>147</v>
      </c>
      <c r="H97" s="8" t="s">
        <v>147</v>
      </c>
      <c r="I97" s="8" t="s">
        <v>147</v>
      </c>
    </row>
    <row r="98" spans="1:9" ht="51">
      <c r="A98" s="190"/>
      <c r="B98" s="87"/>
      <c r="C98" s="211"/>
      <c r="D98" s="10" t="s">
        <v>146</v>
      </c>
      <c r="E98" s="15">
        <v>2</v>
      </c>
      <c r="F98" s="8" t="s">
        <v>147</v>
      </c>
      <c r="G98" s="8" t="s">
        <v>147</v>
      </c>
      <c r="H98" s="8" t="s">
        <v>147</v>
      </c>
      <c r="I98" s="8" t="s">
        <v>147</v>
      </c>
    </row>
    <row r="99" spans="1:9" ht="30.6">
      <c r="A99" s="190"/>
      <c r="B99" s="88"/>
      <c r="C99" s="211"/>
      <c r="D99" s="10" t="s">
        <v>148</v>
      </c>
      <c r="E99" s="14">
        <v>2</v>
      </c>
      <c r="F99" s="5" t="s">
        <v>147</v>
      </c>
      <c r="G99" s="5" t="s">
        <v>147</v>
      </c>
      <c r="H99" s="5" t="s">
        <v>147</v>
      </c>
      <c r="I99" s="5" t="s">
        <v>147</v>
      </c>
    </row>
    <row r="100" spans="1:9" ht="30.6">
      <c r="A100" s="190"/>
      <c r="B100" s="88"/>
      <c r="C100" s="211"/>
      <c r="D100" s="10" t="s">
        <v>148</v>
      </c>
      <c r="E100" s="14">
        <v>2</v>
      </c>
      <c r="F100" s="5" t="s">
        <v>147</v>
      </c>
      <c r="G100" s="5" t="s">
        <v>147</v>
      </c>
      <c r="H100" s="5" t="s">
        <v>147</v>
      </c>
      <c r="I100" s="5" t="s">
        <v>147</v>
      </c>
    </row>
    <row r="101" spans="1:9" ht="30.6">
      <c r="A101" s="190"/>
      <c r="B101" s="88"/>
      <c r="C101" s="211"/>
      <c r="D101" s="10" t="s">
        <v>149</v>
      </c>
      <c r="E101" s="14">
        <v>2</v>
      </c>
      <c r="F101" s="5" t="s">
        <v>147</v>
      </c>
      <c r="G101" s="5" t="s">
        <v>147</v>
      </c>
      <c r="H101" s="5" t="s">
        <v>147</v>
      </c>
      <c r="I101" s="5" t="s">
        <v>147</v>
      </c>
    </row>
    <row r="102" spans="1:9" ht="30.6">
      <c r="A102" s="190"/>
      <c r="B102" s="88"/>
      <c r="C102" s="211"/>
      <c r="D102" s="10" t="s">
        <v>149</v>
      </c>
      <c r="E102" s="14">
        <v>2</v>
      </c>
      <c r="F102" s="5" t="s">
        <v>147</v>
      </c>
      <c r="G102" s="5" t="s">
        <v>147</v>
      </c>
      <c r="H102" s="5" t="s">
        <v>147</v>
      </c>
      <c r="I102" s="5" t="s">
        <v>147</v>
      </c>
    </row>
    <row r="103" spans="1:9" ht="20.399999999999999">
      <c r="A103" s="190"/>
      <c r="B103" s="88"/>
      <c r="C103" s="211"/>
      <c r="D103" s="7" t="s">
        <v>150</v>
      </c>
      <c r="E103" s="14">
        <v>2</v>
      </c>
      <c r="F103" s="5" t="s">
        <v>147</v>
      </c>
      <c r="G103" s="5" t="s">
        <v>147</v>
      </c>
      <c r="H103" s="5" t="s">
        <v>147</v>
      </c>
      <c r="I103" s="5" t="s">
        <v>147</v>
      </c>
    </row>
    <row r="104" spans="1:9" ht="20.399999999999999">
      <c r="A104" s="190"/>
      <c r="B104" s="88"/>
      <c r="C104" s="211"/>
      <c r="D104" s="7" t="s">
        <v>150</v>
      </c>
      <c r="E104" s="14">
        <v>2</v>
      </c>
      <c r="F104" s="5" t="s">
        <v>147</v>
      </c>
      <c r="G104" s="5" t="s">
        <v>147</v>
      </c>
      <c r="H104" s="5" t="s">
        <v>147</v>
      </c>
      <c r="I104" s="5" t="s">
        <v>147</v>
      </c>
    </row>
    <row r="105" spans="1:9" ht="20.399999999999999">
      <c r="A105" s="191"/>
      <c r="B105" s="89"/>
      <c r="C105" s="212"/>
      <c r="D105" s="7" t="s">
        <v>151</v>
      </c>
      <c r="E105" s="14">
        <v>2</v>
      </c>
      <c r="F105" s="5" t="s">
        <v>147</v>
      </c>
      <c r="G105" s="5" t="s">
        <v>147</v>
      </c>
      <c r="H105" s="5" t="s">
        <v>147</v>
      </c>
      <c r="I105" s="5" t="s">
        <v>147</v>
      </c>
    </row>
    <row r="106" spans="1:9" ht="20.399999999999999">
      <c r="A106" s="88"/>
      <c r="B106" s="89"/>
      <c r="C106" s="95"/>
      <c r="D106" s="7" t="s">
        <v>151</v>
      </c>
      <c r="E106" s="14">
        <v>2</v>
      </c>
      <c r="F106" s="5" t="s">
        <v>147</v>
      </c>
      <c r="G106" s="5" t="s">
        <v>147</v>
      </c>
      <c r="H106" s="5" t="s">
        <v>147</v>
      </c>
      <c r="I106" s="5" t="s">
        <v>147</v>
      </c>
    </row>
    <row r="107" spans="1:9">
      <c r="A107" s="226">
        <v>8</v>
      </c>
      <c r="B107" s="91"/>
      <c r="C107" s="210" t="s">
        <v>152</v>
      </c>
      <c r="D107" s="7" t="s">
        <v>153</v>
      </c>
      <c r="E107" s="14">
        <v>2</v>
      </c>
      <c r="F107" s="5" t="s">
        <v>147</v>
      </c>
      <c r="G107" s="5" t="s">
        <v>147</v>
      </c>
      <c r="H107" s="5" t="s">
        <v>147</v>
      </c>
      <c r="I107" s="5" t="s">
        <v>147</v>
      </c>
    </row>
    <row r="108" spans="1:9">
      <c r="A108" s="216"/>
      <c r="B108" s="91"/>
      <c r="C108" s="211"/>
      <c r="D108" s="7" t="s">
        <v>153</v>
      </c>
      <c r="E108" s="14">
        <v>2</v>
      </c>
      <c r="F108" s="5" t="s">
        <v>147</v>
      </c>
      <c r="G108" s="5" t="s">
        <v>147</v>
      </c>
      <c r="H108" s="5" t="s">
        <v>147</v>
      </c>
      <c r="I108" s="5" t="s">
        <v>147</v>
      </c>
    </row>
    <row r="109" spans="1:9">
      <c r="A109" s="216"/>
      <c r="B109" s="92"/>
      <c r="C109" s="211"/>
      <c r="D109" s="7" t="s">
        <v>154</v>
      </c>
      <c r="E109" s="14">
        <v>1</v>
      </c>
      <c r="F109" s="5" t="s">
        <v>147</v>
      </c>
      <c r="G109" s="5" t="s">
        <v>147</v>
      </c>
      <c r="H109" s="5" t="s">
        <v>147</v>
      </c>
      <c r="I109" s="5" t="s">
        <v>147</v>
      </c>
    </row>
    <row r="110" spans="1:9">
      <c r="A110" s="216"/>
      <c r="B110" s="92"/>
      <c r="C110" s="211"/>
      <c r="D110" s="7" t="s">
        <v>155</v>
      </c>
      <c r="E110" s="14">
        <v>1</v>
      </c>
      <c r="F110" s="5" t="s">
        <v>147</v>
      </c>
      <c r="G110" s="5" t="s">
        <v>147</v>
      </c>
      <c r="H110" s="5" t="s">
        <v>147</v>
      </c>
      <c r="I110" s="5" t="s">
        <v>147</v>
      </c>
    </row>
    <row r="111" spans="1:9">
      <c r="A111" s="217"/>
      <c r="B111" s="93"/>
      <c r="C111" s="212"/>
      <c r="D111" s="7" t="s">
        <v>156</v>
      </c>
      <c r="E111" s="14">
        <v>2</v>
      </c>
      <c r="F111" s="5" t="s">
        <v>147</v>
      </c>
      <c r="G111" s="5" t="s">
        <v>147</v>
      </c>
      <c r="H111" s="5" t="s">
        <v>147</v>
      </c>
      <c r="I111" s="5" t="s">
        <v>147</v>
      </c>
    </row>
    <row r="112" spans="1:9">
      <c r="A112" s="92"/>
      <c r="B112" s="93"/>
      <c r="C112" s="95"/>
      <c r="D112" s="7" t="s">
        <v>156</v>
      </c>
      <c r="E112" s="14">
        <v>2</v>
      </c>
      <c r="F112" s="5" t="s">
        <v>147</v>
      </c>
      <c r="G112" s="5" t="s">
        <v>147</v>
      </c>
      <c r="H112" s="5" t="s">
        <v>147</v>
      </c>
      <c r="I112" s="5" t="s">
        <v>147</v>
      </c>
    </row>
    <row r="113" spans="1:9">
      <c r="A113" s="226">
        <v>1</v>
      </c>
      <c r="B113" s="91"/>
      <c r="C113" s="227" t="s">
        <v>105</v>
      </c>
      <c r="D113" s="7" t="s">
        <v>157</v>
      </c>
      <c r="E113" s="14">
        <v>1</v>
      </c>
      <c r="F113" s="11" t="s">
        <v>7</v>
      </c>
      <c r="G113" s="11" t="s">
        <v>18</v>
      </c>
      <c r="H113" s="5" t="s">
        <v>12</v>
      </c>
      <c r="I113" s="31" t="s">
        <v>19</v>
      </c>
    </row>
    <row r="114" spans="1:9" ht="30.6">
      <c r="A114" s="216"/>
      <c r="B114" s="92"/>
      <c r="C114" s="218"/>
      <c r="D114" s="10" t="s">
        <v>158</v>
      </c>
      <c r="E114" s="14">
        <v>1</v>
      </c>
      <c r="F114" s="5" t="s">
        <v>108</v>
      </c>
      <c r="G114" s="11" t="s">
        <v>20</v>
      </c>
      <c r="H114" s="11" t="s">
        <v>7</v>
      </c>
      <c r="I114" s="31" t="s">
        <v>21</v>
      </c>
    </row>
    <row r="115" spans="1:9" ht="20.399999999999999">
      <c r="A115" s="217"/>
      <c r="B115" s="93"/>
      <c r="C115" s="219"/>
      <c r="D115" s="7" t="s">
        <v>159</v>
      </c>
      <c r="E115" s="14">
        <v>2</v>
      </c>
      <c r="F115" s="5" t="s">
        <v>108</v>
      </c>
      <c r="G115" s="11" t="s">
        <v>24</v>
      </c>
      <c r="H115" s="11" t="s">
        <v>7</v>
      </c>
      <c r="I115" s="31" t="s">
        <v>20</v>
      </c>
    </row>
    <row r="116" spans="1:9" ht="20.399999999999999">
      <c r="A116" s="92"/>
      <c r="B116" s="93"/>
      <c r="C116" s="94"/>
      <c r="D116" s="7" t="s">
        <v>159</v>
      </c>
      <c r="E116" s="14">
        <v>2</v>
      </c>
      <c r="F116" s="5" t="s">
        <v>108</v>
      </c>
      <c r="G116" s="11" t="s">
        <v>24</v>
      </c>
      <c r="H116" s="11" t="s">
        <v>7</v>
      </c>
      <c r="I116" s="31" t="s">
        <v>25</v>
      </c>
    </row>
    <row r="117" spans="1:9" ht="20.399999999999999">
      <c r="A117" s="189">
        <v>2</v>
      </c>
      <c r="B117" s="87"/>
      <c r="C117" s="220" t="s">
        <v>160</v>
      </c>
      <c r="D117" s="7" t="s">
        <v>161</v>
      </c>
      <c r="E117" s="14">
        <v>2</v>
      </c>
      <c r="F117" s="11" t="s">
        <v>19</v>
      </c>
      <c r="G117" s="11" t="s">
        <v>20</v>
      </c>
      <c r="H117" s="5" t="s">
        <v>12</v>
      </c>
      <c r="I117" s="31" t="s">
        <v>16</v>
      </c>
    </row>
    <row r="118" spans="1:9" ht="20.399999999999999">
      <c r="A118" s="190"/>
      <c r="B118" s="87"/>
      <c r="C118" s="221"/>
      <c r="D118" s="7" t="s">
        <v>161</v>
      </c>
      <c r="E118" s="14">
        <v>2</v>
      </c>
      <c r="F118" s="11" t="s">
        <v>19</v>
      </c>
      <c r="G118" s="11" t="s">
        <v>20</v>
      </c>
      <c r="H118" s="5" t="s">
        <v>12</v>
      </c>
      <c r="I118" s="31" t="s">
        <v>16</v>
      </c>
    </row>
    <row r="119" spans="1:9" ht="20.399999999999999">
      <c r="A119" s="190"/>
      <c r="B119" s="88"/>
      <c r="C119" s="221"/>
      <c r="D119" s="7" t="s">
        <v>162</v>
      </c>
      <c r="E119" s="14">
        <v>1</v>
      </c>
      <c r="F119" s="5" t="s">
        <v>20</v>
      </c>
      <c r="G119" s="5" t="s">
        <v>22</v>
      </c>
      <c r="H119" s="5" t="s">
        <v>108</v>
      </c>
      <c r="I119" s="31" t="s">
        <v>27</v>
      </c>
    </row>
    <row r="120" spans="1:9" ht="20.399999999999999">
      <c r="A120" s="190"/>
      <c r="B120" s="88"/>
      <c r="C120" s="221"/>
      <c r="D120" s="7" t="s">
        <v>163</v>
      </c>
      <c r="E120" s="14">
        <v>1</v>
      </c>
      <c r="F120" s="5" t="s">
        <v>22</v>
      </c>
      <c r="G120" s="5" t="s">
        <v>19</v>
      </c>
      <c r="H120" s="5" t="s">
        <v>21</v>
      </c>
      <c r="I120" s="34" t="s">
        <v>12</v>
      </c>
    </row>
    <row r="121" spans="1:9">
      <c r="A121" s="190"/>
      <c r="B121" s="88"/>
      <c r="C121" s="221"/>
      <c r="D121" s="7" t="s">
        <v>164</v>
      </c>
      <c r="E121" s="14">
        <v>1</v>
      </c>
      <c r="F121" s="5" t="s">
        <v>9</v>
      </c>
      <c r="G121" s="5" t="s">
        <v>21</v>
      </c>
      <c r="H121" s="5" t="s">
        <v>12</v>
      </c>
      <c r="I121" s="31" t="s">
        <v>17</v>
      </c>
    </row>
    <row r="122" spans="1:9">
      <c r="A122" s="190"/>
      <c r="B122" s="88"/>
      <c r="C122" s="221"/>
      <c r="D122" s="7" t="s">
        <v>165</v>
      </c>
      <c r="E122" s="14">
        <v>1</v>
      </c>
      <c r="F122" s="5" t="s">
        <v>24</v>
      </c>
      <c r="G122" s="5" t="s">
        <v>16</v>
      </c>
      <c r="H122" s="5" t="s">
        <v>20</v>
      </c>
      <c r="I122" s="31" t="s">
        <v>17</v>
      </c>
    </row>
    <row r="123" spans="1:9">
      <c r="A123" s="190"/>
      <c r="B123" s="88"/>
      <c r="C123" s="221"/>
      <c r="D123" s="7" t="s">
        <v>166</v>
      </c>
      <c r="E123" s="14">
        <v>1</v>
      </c>
      <c r="F123" s="5" t="s">
        <v>25</v>
      </c>
      <c r="G123" s="5" t="s">
        <v>12</v>
      </c>
      <c r="H123" s="5" t="s">
        <v>19</v>
      </c>
      <c r="I123" s="31" t="s">
        <v>12</v>
      </c>
    </row>
    <row r="124" spans="1:9" ht="30.6">
      <c r="A124" s="190"/>
      <c r="B124" s="88"/>
      <c r="C124" s="221"/>
      <c r="D124" s="10" t="s">
        <v>167</v>
      </c>
      <c r="E124" s="14">
        <v>2</v>
      </c>
      <c r="F124" s="5" t="s">
        <v>18</v>
      </c>
      <c r="G124" s="5" t="s">
        <v>16</v>
      </c>
      <c r="H124" s="5" t="s">
        <v>26</v>
      </c>
      <c r="I124" s="31" t="s">
        <v>123</v>
      </c>
    </row>
    <row r="125" spans="1:9" ht="30.6">
      <c r="A125" s="190"/>
      <c r="B125" s="88"/>
      <c r="C125" s="221"/>
      <c r="D125" s="10" t="s">
        <v>167</v>
      </c>
      <c r="E125" s="14">
        <v>2</v>
      </c>
      <c r="F125" s="5" t="s">
        <v>18</v>
      </c>
      <c r="G125" s="5" t="s">
        <v>16</v>
      </c>
      <c r="H125" s="5" t="s">
        <v>26</v>
      </c>
      <c r="I125" s="34" t="s">
        <v>19</v>
      </c>
    </row>
    <row r="126" spans="1:9">
      <c r="A126" s="191"/>
      <c r="B126" s="89"/>
      <c r="C126" s="222"/>
      <c r="D126" s="7" t="s">
        <v>168</v>
      </c>
      <c r="E126" s="14">
        <v>1</v>
      </c>
      <c r="F126" s="5" t="s">
        <v>19</v>
      </c>
      <c r="G126" s="5" t="s">
        <v>16</v>
      </c>
      <c r="H126" s="5" t="s">
        <v>27</v>
      </c>
      <c r="I126" s="34" t="s">
        <v>25</v>
      </c>
    </row>
    <row r="127" spans="1:9" ht="14.4" customHeight="1">
      <c r="A127" s="189">
        <v>3</v>
      </c>
      <c r="B127" s="87"/>
      <c r="C127" s="210" t="s">
        <v>121</v>
      </c>
      <c r="D127" s="7" t="s">
        <v>169</v>
      </c>
      <c r="E127" s="14">
        <v>1</v>
      </c>
      <c r="F127" s="5" t="s">
        <v>74</v>
      </c>
      <c r="G127" s="5" t="s">
        <v>62</v>
      </c>
      <c r="H127" s="11" t="s">
        <v>19</v>
      </c>
      <c r="I127" s="31" t="s">
        <v>122</v>
      </c>
    </row>
    <row r="128" spans="1:9" ht="30.6">
      <c r="A128" s="190"/>
      <c r="B128" s="88"/>
      <c r="C128" s="211"/>
      <c r="D128" s="10" t="s">
        <v>170</v>
      </c>
      <c r="E128" s="14">
        <v>1</v>
      </c>
      <c r="F128" s="5" t="s">
        <v>74</v>
      </c>
      <c r="G128" s="11" t="s">
        <v>12</v>
      </c>
      <c r="H128" s="5" t="s">
        <v>171</v>
      </c>
      <c r="I128" s="31" t="s">
        <v>122</v>
      </c>
    </row>
    <row r="129" spans="1:9" ht="61.2">
      <c r="A129" s="190"/>
      <c r="B129" s="88"/>
      <c r="C129" s="211"/>
      <c r="D129" s="12" t="s">
        <v>32</v>
      </c>
      <c r="E129" s="14">
        <v>2</v>
      </c>
      <c r="F129" s="5" t="s">
        <v>122</v>
      </c>
      <c r="G129" s="5" t="s">
        <v>62</v>
      </c>
      <c r="H129" s="11" t="s">
        <v>12</v>
      </c>
      <c r="I129" s="31" t="s">
        <v>65</v>
      </c>
    </row>
    <row r="130" spans="1:9" ht="61.2">
      <c r="A130" s="190"/>
      <c r="B130" s="88"/>
      <c r="C130" s="211"/>
      <c r="D130" s="12" t="s">
        <v>32</v>
      </c>
      <c r="E130" s="14">
        <v>2</v>
      </c>
      <c r="F130" s="5" t="s">
        <v>122</v>
      </c>
      <c r="G130" s="5" t="s">
        <v>62</v>
      </c>
      <c r="H130" s="11" t="s">
        <v>12</v>
      </c>
      <c r="I130" s="31" t="s">
        <v>19</v>
      </c>
    </row>
    <row r="131" spans="1:9" ht="20.399999999999999">
      <c r="A131" s="190"/>
      <c r="B131" s="88"/>
      <c r="C131" s="211"/>
      <c r="D131" s="12" t="s">
        <v>33</v>
      </c>
      <c r="E131" s="14">
        <v>1</v>
      </c>
      <c r="F131" s="11" t="s">
        <v>22</v>
      </c>
      <c r="G131" s="11" t="s">
        <v>21</v>
      </c>
      <c r="H131" s="11" t="s">
        <v>20</v>
      </c>
      <c r="I131" s="31" t="s">
        <v>21</v>
      </c>
    </row>
    <row r="132" spans="1:9" ht="20.399999999999999">
      <c r="A132" s="190"/>
      <c r="B132" s="88"/>
      <c r="C132" s="211"/>
      <c r="D132" s="12" t="s">
        <v>34</v>
      </c>
      <c r="E132" s="14">
        <v>1</v>
      </c>
      <c r="F132" s="5" t="s">
        <v>172</v>
      </c>
      <c r="G132" s="11" t="s">
        <v>20</v>
      </c>
      <c r="H132" s="5" t="s">
        <v>25</v>
      </c>
      <c r="I132" s="31" t="s">
        <v>20</v>
      </c>
    </row>
    <row r="133" spans="1:9" ht="20.399999999999999">
      <c r="A133" s="190"/>
      <c r="B133" s="88"/>
      <c r="C133" s="211"/>
      <c r="D133" s="12" t="s">
        <v>35</v>
      </c>
      <c r="E133" s="14">
        <v>1</v>
      </c>
      <c r="F133" s="11" t="s">
        <v>20</v>
      </c>
      <c r="G133" s="5" t="s">
        <v>25</v>
      </c>
      <c r="H133" s="11" t="s">
        <v>9</v>
      </c>
      <c r="I133" s="31" t="s">
        <v>25</v>
      </c>
    </row>
    <row r="134" spans="1:9" ht="30.6">
      <c r="A134" s="190"/>
      <c r="B134" s="88"/>
      <c r="C134" s="211"/>
      <c r="D134" s="12" t="s">
        <v>36</v>
      </c>
      <c r="E134" s="14">
        <v>1</v>
      </c>
      <c r="F134" s="11" t="s">
        <v>20</v>
      </c>
      <c r="G134" s="11" t="s">
        <v>12</v>
      </c>
      <c r="H134" s="11" t="s">
        <v>22</v>
      </c>
      <c r="I134" s="31" t="s">
        <v>16</v>
      </c>
    </row>
    <row r="135" spans="1:9" ht="30.6">
      <c r="A135" s="190"/>
      <c r="B135" s="88"/>
      <c r="C135" s="211"/>
      <c r="D135" s="12" t="s">
        <v>37</v>
      </c>
      <c r="E135" s="14">
        <v>1</v>
      </c>
      <c r="F135" s="11" t="s">
        <v>20</v>
      </c>
      <c r="G135" s="11" t="s">
        <v>26</v>
      </c>
      <c r="H135" s="11" t="s">
        <v>18</v>
      </c>
      <c r="I135" s="31" t="s">
        <v>16</v>
      </c>
    </row>
    <row r="136" spans="1:9">
      <c r="A136" s="191"/>
      <c r="B136" s="89"/>
      <c r="C136" s="212"/>
      <c r="D136" s="7" t="s">
        <v>173</v>
      </c>
      <c r="E136" s="14">
        <v>1</v>
      </c>
      <c r="F136" s="5" t="s">
        <v>63</v>
      </c>
      <c r="G136" s="11" t="s">
        <v>19</v>
      </c>
      <c r="H136" s="5" t="s">
        <v>122</v>
      </c>
      <c r="I136" s="31" t="s">
        <v>27</v>
      </c>
    </row>
    <row r="137" spans="1:9" ht="14.4" customHeight="1">
      <c r="A137" s="189">
        <v>4</v>
      </c>
      <c r="B137" s="87"/>
      <c r="C137" s="223" t="s">
        <v>126</v>
      </c>
      <c r="D137" s="7" t="s">
        <v>174</v>
      </c>
      <c r="E137" s="14">
        <v>1</v>
      </c>
      <c r="F137" s="11" t="s">
        <v>24</v>
      </c>
      <c r="G137" s="5" t="s">
        <v>123</v>
      </c>
      <c r="H137" s="5" t="s">
        <v>122</v>
      </c>
      <c r="I137" s="34" t="s">
        <v>12</v>
      </c>
    </row>
    <row r="138" spans="1:9" ht="20.399999999999999">
      <c r="A138" s="190"/>
      <c r="B138" s="88"/>
      <c r="C138" s="224"/>
      <c r="D138" s="7" t="s">
        <v>175</v>
      </c>
      <c r="E138" s="14">
        <v>1</v>
      </c>
      <c r="F138" s="5" t="s">
        <v>69</v>
      </c>
      <c r="G138" s="11" t="s">
        <v>20</v>
      </c>
      <c r="H138" s="5" t="s">
        <v>172</v>
      </c>
      <c r="I138" s="31" t="s">
        <v>17</v>
      </c>
    </row>
    <row r="139" spans="1:9" ht="20.399999999999999">
      <c r="A139" s="190"/>
      <c r="B139" s="88"/>
      <c r="C139" s="224"/>
      <c r="D139" s="7" t="s">
        <v>176</v>
      </c>
      <c r="E139" s="14">
        <v>1</v>
      </c>
      <c r="F139" s="11" t="s">
        <v>20</v>
      </c>
      <c r="G139" s="11" t="s">
        <v>21</v>
      </c>
      <c r="H139" s="5" t="s">
        <v>123</v>
      </c>
      <c r="I139" s="31" t="s">
        <v>17</v>
      </c>
    </row>
    <row r="140" spans="1:9" ht="30.6">
      <c r="A140" s="190"/>
      <c r="B140" s="88"/>
      <c r="C140" s="224"/>
      <c r="D140" s="10" t="s">
        <v>177</v>
      </c>
      <c r="E140" s="14">
        <v>1</v>
      </c>
      <c r="F140" s="5" t="s">
        <v>123</v>
      </c>
      <c r="G140" s="11" t="s">
        <v>19</v>
      </c>
      <c r="H140" s="11" t="s">
        <v>21</v>
      </c>
      <c r="I140" s="31" t="s">
        <v>12</v>
      </c>
    </row>
    <row r="141" spans="1:9" ht="20.399999999999999">
      <c r="A141" s="190"/>
      <c r="B141" s="88"/>
      <c r="C141" s="224"/>
      <c r="D141" s="7" t="s">
        <v>178</v>
      </c>
      <c r="E141" s="14">
        <v>1</v>
      </c>
      <c r="F141" s="5" t="s">
        <v>108</v>
      </c>
      <c r="G141" s="11" t="s">
        <v>24</v>
      </c>
      <c r="H141" s="5" t="s">
        <v>63</v>
      </c>
      <c r="I141" s="31" t="s">
        <v>123</v>
      </c>
    </row>
    <row r="142" spans="1:9">
      <c r="A142" s="190"/>
      <c r="B142" s="88"/>
      <c r="C142" s="224"/>
      <c r="D142" s="7" t="s">
        <v>179</v>
      </c>
      <c r="E142" s="14">
        <v>1</v>
      </c>
      <c r="F142" s="5" t="s">
        <v>19</v>
      </c>
      <c r="G142" s="5" t="s">
        <v>122</v>
      </c>
      <c r="H142" s="5" t="s">
        <v>25</v>
      </c>
      <c r="I142" s="34" t="s">
        <v>19</v>
      </c>
    </row>
    <row r="143" spans="1:9">
      <c r="A143" s="190"/>
      <c r="B143" s="88"/>
      <c r="C143" s="224"/>
      <c r="D143" s="7" t="s">
        <v>180</v>
      </c>
      <c r="E143" s="14">
        <v>1</v>
      </c>
      <c r="F143" s="5" t="s">
        <v>122</v>
      </c>
      <c r="G143" s="5" t="s">
        <v>19</v>
      </c>
      <c r="H143" s="11" t="s">
        <v>12</v>
      </c>
      <c r="I143" s="34" t="s">
        <v>25</v>
      </c>
    </row>
    <row r="144" spans="1:9" ht="30.6">
      <c r="A144" s="190"/>
      <c r="B144" s="88"/>
      <c r="C144" s="224"/>
      <c r="D144" s="10" t="s">
        <v>181</v>
      </c>
      <c r="E144" s="14">
        <v>1</v>
      </c>
      <c r="F144" s="5" t="s">
        <v>62</v>
      </c>
      <c r="G144" s="5" t="s">
        <v>122</v>
      </c>
      <c r="H144" s="11" t="s">
        <v>19</v>
      </c>
      <c r="I144" s="31" t="s">
        <v>122</v>
      </c>
    </row>
    <row r="145" spans="1:9" ht="30.6">
      <c r="A145" s="191"/>
      <c r="B145" s="89"/>
      <c r="C145" s="225"/>
      <c r="D145" s="10" t="s">
        <v>182</v>
      </c>
      <c r="E145" s="14">
        <v>1</v>
      </c>
      <c r="F145" s="11" t="s">
        <v>24</v>
      </c>
      <c r="G145" s="5" t="s">
        <v>74</v>
      </c>
      <c r="H145" s="5" t="s">
        <v>63</v>
      </c>
      <c r="I145" s="31" t="s">
        <v>122</v>
      </c>
    </row>
    <row r="146" spans="1:9" ht="40.799999999999997">
      <c r="A146" s="189">
        <v>5</v>
      </c>
      <c r="B146" s="87"/>
      <c r="C146" s="210" t="s">
        <v>103</v>
      </c>
      <c r="D146" s="10" t="s">
        <v>183</v>
      </c>
      <c r="E146" s="15">
        <v>3</v>
      </c>
      <c r="F146" s="8" t="s">
        <v>138</v>
      </c>
      <c r="G146" s="8" t="s">
        <v>138</v>
      </c>
      <c r="H146" s="8" t="s">
        <v>138</v>
      </c>
      <c r="I146" s="31" t="s">
        <v>65</v>
      </c>
    </row>
    <row r="147" spans="1:9" ht="40.799999999999997">
      <c r="A147" s="190"/>
      <c r="B147" s="87"/>
      <c r="C147" s="211"/>
      <c r="D147" s="10" t="s">
        <v>183</v>
      </c>
      <c r="E147" s="15">
        <v>3</v>
      </c>
      <c r="F147" s="8" t="s">
        <v>138</v>
      </c>
      <c r="G147" s="8" t="s">
        <v>138</v>
      </c>
      <c r="H147" s="8" t="s">
        <v>138</v>
      </c>
      <c r="I147" s="8" t="s">
        <v>138</v>
      </c>
    </row>
    <row r="148" spans="1:9" ht="40.799999999999997">
      <c r="A148" s="190"/>
      <c r="B148" s="87"/>
      <c r="C148" s="211"/>
      <c r="D148" s="10" t="s">
        <v>183</v>
      </c>
      <c r="E148" s="15">
        <v>3</v>
      </c>
      <c r="F148" s="8" t="s">
        <v>138</v>
      </c>
      <c r="G148" s="8" t="s">
        <v>138</v>
      </c>
      <c r="H148" s="8" t="s">
        <v>138</v>
      </c>
      <c r="I148" s="8" t="s">
        <v>138</v>
      </c>
    </row>
    <row r="149" spans="1:9" ht="20.399999999999999">
      <c r="A149" s="191"/>
      <c r="B149" s="89"/>
      <c r="C149" s="212"/>
      <c r="D149" s="7" t="s">
        <v>184</v>
      </c>
      <c r="E149" s="14">
        <v>3</v>
      </c>
      <c r="F149" s="5" t="s">
        <v>138</v>
      </c>
      <c r="G149" s="5" t="s">
        <v>138</v>
      </c>
      <c r="H149" s="5" t="s">
        <v>138</v>
      </c>
      <c r="I149" s="5" t="s">
        <v>138</v>
      </c>
    </row>
    <row r="150" spans="1:9" ht="20.399999999999999">
      <c r="A150" s="88"/>
      <c r="B150" s="89"/>
      <c r="C150" s="95"/>
      <c r="D150" s="7" t="s">
        <v>184</v>
      </c>
      <c r="E150" s="14">
        <v>3</v>
      </c>
      <c r="F150" s="5" t="s">
        <v>138</v>
      </c>
      <c r="G150" s="5" t="s">
        <v>138</v>
      </c>
      <c r="H150" s="5" t="s">
        <v>138</v>
      </c>
      <c r="I150" s="5" t="s">
        <v>138</v>
      </c>
    </row>
    <row r="151" spans="1:9" ht="20.399999999999999">
      <c r="A151" s="88"/>
      <c r="B151" s="89"/>
      <c r="C151" s="95"/>
      <c r="D151" s="7" t="s">
        <v>184</v>
      </c>
      <c r="E151" s="14">
        <v>3</v>
      </c>
      <c r="F151" s="5" t="s">
        <v>138</v>
      </c>
      <c r="G151" s="5" t="s">
        <v>138</v>
      </c>
      <c r="H151" s="5" t="s">
        <v>138</v>
      </c>
      <c r="I151" s="5" t="s">
        <v>138</v>
      </c>
    </row>
    <row r="152" spans="1:9" ht="20.399999999999999">
      <c r="A152" s="17"/>
      <c r="B152" s="17"/>
      <c r="C152" s="17"/>
      <c r="D152" s="7" t="s">
        <v>185</v>
      </c>
      <c r="E152" s="15">
        <v>3</v>
      </c>
      <c r="F152" s="8" t="s">
        <v>138</v>
      </c>
      <c r="G152" s="8" t="s">
        <v>138</v>
      </c>
      <c r="H152" s="8" t="s">
        <v>138</v>
      </c>
      <c r="I152" s="8" t="s">
        <v>138</v>
      </c>
    </row>
    <row r="153" spans="1:9" ht="20.399999999999999">
      <c r="A153" s="17"/>
      <c r="B153" s="17"/>
      <c r="C153" s="17"/>
      <c r="D153" s="7" t="s">
        <v>185</v>
      </c>
      <c r="E153" s="15">
        <v>3</v>
      </c>
      <c r="F153" s="8" t="s">
        <v>138</v>
      </c>
      <c r="G153" s="8" t="s">
        <v>138</v>
      </c>
      <c r="H153" s="8" t="s">
        <v>138</v>
      </c>
      <c r="I153" s="8" t="s">
        <v>138</v>
      </c>
    </row>
    <row r="154" spans="1:9" ht="20.399999999999999">
      <c r="A154" s="17"/>
      <c r="B154" s="17"/>
      <c r="C154" s="17"/>
      <c r="D154" s="7" t="s">
        <v>185</v>
      </c>
      <c r="E154" s="15">
        <v>3</v>
      </c>
      <c r="F154" s="8" t="s">
        <v>138</v>
      </c>
      <c r="G154" s="8" t="s">
        <v>138</v>
      </c>
      <c r="H154" s="8" t="s">
        <v>138</v>
      </c>
      <c r="I154" s="8" t="s">
        <v>138</v>
      </c>
    </row>
    <row r="155" spans="1:9" ht="40.799999999999997">
      <c r="A155" s="216">
        <v>6</v>
      </c>
      <c r="B155" s="92"/>
      <c r="C155" s="218" t="s">
        <v>103</v>
      </c>
      <c r="D155" s="10" t="s">
        <v>186</v>
      </c>
      <c r="E155" s="14">
        <v>3</v>
      </c>
      <c r="F155" s="5" t="s">
        <v>138</v>
      </c>
      <c r="G155" s="5" t="s">
        <v>138</v>
      </c>
      <c r="H155" s="5" t="s">
        <v>138</v>
      </c>
      <c r="I155" s="5" t="s">
        <v>138</v>
      </c>
    </row>
    <row r="156" spans="1:9" ht="40.799999999999997">
      <c r="A156" s="216"/>
      <c r="B156" s="92"/>
      <c r="C156" s="218"/>
      <c r="D156" s="10" t="s">
        <v>186</v>
      </c>
      <c r="E156" s="14">
        <v>3</v>
      </c>
      <c r="F156" s="5" t="s">
        <v>138</v>
      </c>
      <c r="G156" s="5" t="s">
        <v>138</v>
      </c>
      <c r="H156" s="5" t="s">
        <v>138</v>
      </c>
      <c r="I156" s="5" t="s">
        <v>138</v>
      </c>
    </row>
    <row r="157" spans="1:9" ht="40.799999999999997">
      <c r="A157" s="216"/>
      <c r="B157" s="92"/>
      <c r="C157" s="218"/>
      <c r="D157" s="10" t="s">
        <v>186</v>
      </c>
      <c r="E157" s="14">
        <v>3</v>
      </c>
      <c r="F157" s="5" t="s">
        <v>138</v>
      </c>
      <c r="G157" s="5" t="s">
        <v>138</v>
      </c>
      <c r="H157" s="5" t="s">
        <v>138</v>
      </c>
      <c r="I157" s="5" t="s">
        <v>138</v>
      </c>
    </row>
    <row r="158" spans="1:9" ht="20.399999999999999">
      <c r="A158" s="216"/>
      <c r="B158" s="92"/>
      <c r="C158" s="218"/>
      <c r="D158" s="7" t="s">
        <v>187</v>
      </c>
      <c r="E158" s="14">
        <v>3</v>
      </c>
      <c r="F158" s="5" t="s">
        <v>138</v>
      </c>
      <c r="G158" s="5" t="s">
        <v>138</v>
      </c>
      <c r="H158" s="5" t="s">
        <v>138</v>
      </c>
      <c r="I158" s="5" t="s">
        <v>138</v>
      </c>
    </row>
    <row r="159" spans="1:9" ht="20.399999999999999">
      <c r="A159" s="216"/>
      <c r="B159" s="92"/>
      <c r="C159" s="218"/>
      <c r="D159" s="7" t="s">
        <v>187</v>
      </c>
      <c r="E159" s="14">
        <v>3</v>
      </c>
      <c r="F159" s="5" t="s">
        <v>138</v>
      </c>
      <c r="G159" s="5" t="s">
        <v>138</v>
      </c>
      <c r="H159" s="5" t="s">
        <v>138</v>
      </c>
      <c r="I159" s="5" t="s">
        <v>138</v>
      </c>
    </row>
    <row r="160" spans="1:9" ht="20.399999999999999">
      <c r="A160" s="216"/>
      <c r="B160" s="92"/>
      <c r="C160" s="218"/>
      <c r="D160" s="7" t="s">
        <v>187</v>
      </c>
      <c r="E160" s="14">
        <v>3</v>
      </c>
      <c r="F160" s="5" t="s">
        <v>138</v>
      </c>
      <c r="G160" s="5" t="s">
        <v>138</v>
      </c>
      <c r="H160" s="5" t="s">
        <v>138</v>
      </c>
      <c r="I160" s="5" t="s">
        <v>138</v>
      </c>
    </row>
    <row r="161" spans="1:9">
      <c r="A161" s="217"/>
      <c r="B161" s="93"/>
      <c r="C161" s="219"/>
      <c r="D161" s="7" t="s">
        <v>188</v>
      </c>
      <c r="E161" s="14">
        <v>3</v>
      </c>
      <c r="F161" s="5" t="s">
        <v>138</v>
      </c>
      <c r="G161" s="5" t="s">
        <v>138</v>
      </c>
      <c r="H161" s="5" t="s">
        <v>138</v>
      </c>
      <c r="I161" s="5" t="s">
        <v>138</v>
      </c>
    </row>
    <row r="162" spans="1:9">
      <c r="A162" s="92"/>
      <c r="B162" s="93"/>
      <c r="C162" s="94"/>
      <c r="D162" s="7" t="s">
        <v>188</v>
      </c>
      <c r="E162" s="14">
        <v>3</v>
      </c>
      <c r="F162" s="5" t="s">
        <v>138</v>
      </c>
      <c r="G162" s="5" t="s">
        <v>138</v>
      </c>
      <c r="H162" s="5" t="s">
        <v>138</v>
      </c>
      <c r="I162" s="5" t="s">
        <v>138</v>
      </c>
    </row>
    <row r="163" spans="1:9">
      <c r="A163" s="92"/>
      <c r="B163" s="93"/>
      <c r="C163" s="94"/>
      <c r="D163" s="7" t="s">
        <v>188</v>
      </c>
      <c r="E163" s="14">
        <v>3</v>
      </c>
      <c r="F163" s="5" t="s">
        <v>138</v>
      </c>
      <c r="G163" s="5" t="s">
        <v>138</v>
      </c>
      <c r="H163" s="5" t="s">
        <v>138</v>
      </c>
      <c r="I163" s="5" t="s">
        <v>138</v>
      </c>
    </row>
    <row r="164" spans="1:9" ht="40.799999999999997">
      <c r="A164" s="189">
        <v>7</v>
      </c>
      <c r="B164" s="87"/>
      <c r="C164" s="210" t="s">
        <v>145</v>
      </c>
      <c r="D164" s="7" t="s">
        <v>189</v>
      </c>
      <c r="E164" s="15">
        <v>2</v>
      </c>
      <c r="F164" s="8" t="s">
        <v>147</v>
      </c>
      <c r="G164" s="8" t="s">
        <v>147</v>
      </c>
      <c r="H164" s="8" t="s">
        <v>147</v>
      </c>
      <c r="I164" s="8" t="s">
        <v>147</v>
      </c>
    </row>
    <row r="165" spans="1:9" ht="40.799999999999997">
      <c r="A165" s="190"/>
      <c r="B165" s="87"/>
      <c r="C165" s="211"/>
      <c r="D165" s="7" t="s">
        <v>189</v>
      </c>
      <c r="E165" s="15">
        <v>2</v>
      </c>
      <c r="F165" s="8" t="s">
        <v>147</v>
      </c>
      <c r="G165" s="8" t="s">
        <v>147</v>
      </c>
      <c r="H165" s="8" t="s">
        <v>147</v>
      </c>
      <c r="I165" s="8" t="s">
        <v>147</v>
      </c>
    </row>
    <row r="166" spans="1:9" ht="30.6">
      <c r="A166" s="190"/>
      <c r="B166" s="88"/>
      <c r="C166" s="211"/>
      <c r="D166" s="10" t="s">
        <v>190</v>
      </c>
      <c r="E166" s="14">
        <v>2</v>
      </c>
      <c r="F166" s="5" t="s">
        <v>147</v>
      </c>
      <c r="G166" s="5" t="s">
        <v>147</v>
      </c>
      <c r="H166" s="5" t="s">
        <v>147</v>
      </c>
      <c r="I166" s="5" t="s">
        <v>147</v>
      </c>
    </row>
    <row r="167" spans="1:9" ht="30.6">
      <c r="A167" s="190"/>
      <c r="B167" s="88"/>
      <c r="C167" s="211"/>
      <c r="D167" s="10" t="s">
        <v>190</v>
      </c>
      <c r="E167" s="14">
        <v>2</v>
      </c>
      <c r="F167" s="5" t="s">
        <v>147</v>
      </c>
      <c r="G167" s="5" t="s">
        <v>147</v>
      </c>
      <c r="H167" s="5" t="s">
        <v>147</v>
      </c>
      <c r="I167" s="5" t="s">
        <v>147</v>
      </c>
    </row>
    <row r="168" spans="1:9" ht="30.6">
      <c r="A168" s="190"/>
      <c r="B168" s="88"/>
      <c r="C168" s="211"/>
      <c r="D168" s="10" t="s">
        <v>191</v>
      </c>
      <c r="E168" s="14">
        <v>2</v>
      </c>
      <c r="F168" s="5" t="s">
        <v>147</v>
      </c>
      <c r="G168" s="5" t="s">
        <v>147</v>
      </c>
      <c r="H168" s="5" t="s">
        <v>147</v>
      </c>
      <c r="I168" s="5" t="s">
        <v>147</v>
      </c>
    </row>
    <row r="169" spans="1:9" ht="30.6">
      <c r="A169" s="190"/>
      <c r="B169" s="88"/>
      <c r="C169" s="211"/>
      <c r="D169" s="10" t="s">
        <v>191</v>
      </c>
      <c r="E169" s="14">
        <v>2</v>
      </c>
      <c r="F169" s="5" t="s">
        <v>147</v>
      </c>
      <c r="G169" s="5" t="s">
        <v>147</v>
      </c>
      <c r="H169" s="5" t="s">
        <v>147</v>
      </c>
      <c r="I169" s="5" t="s">
        <v>147</v>
      </c>
    </row>
    <row r="170" spans="1:9" ht="20.399999999999999">
      <c r="A170" s="190"/>
      <c r="B170" s="88"/>
      <c r="C170" s="211"/>
      <c r="D170" s="7" t="s">
        <v>192</v>
      </c>
      <c r="E170" s="14">
        <v>2</v>
      </c>
      <c r="F170" s="5" t="s">
        <v>147</v>
      </c>
      <c r="G170" s="5" t="s">
        <v>147</v>
      </c>
      <c r="H170" s="5" t="s">
        <v>147</v>
      </c>
      <c r="I170" s="5" t="s">
        <v>147</v>
      </c>
    </row>
    <row r="171" spans="1:9" ht="20.399999999999999">
      <c r="A171" s="190"/>
      <c r="B171" s="88"/>
      <c r="C171" s="211"/>
      <c r="D171" s="7" t="s">
        <v>192</v>
      </c>
      <c r="E171" s="14">
        <v>2</v>
      </c>
      <c r="F171" s="5" t="s">
        <v>147</v>
      </c>
      <c r="G171" s="5" t="s">
        <v>147</v>
      </c>
      <c r="H171" s="5" t="s">
        <v>147</v>
      </c>
      <c r="I171" s="5" t="s">
        <v>147</v>
      </c>
    </row>
    <row r="172" spans="1:9" ht="30.6">
      <c r="A172" s="190"/>
      <c r="B172" s="88"/>
      <c r="C172" s="211"/>
      <c r="D172" s="10" t="s">
        <v>193</v>
      </c>
      <c r="E172" s="14">
        <v>2</v>
      </c>
      <c r="F172" s="5" t="s">
        <v>147</v>
      </c>
      <c r="G172" s="5" t="s">
        <v>147</v>
      </c>
      <c r="H172" s="5" t="s">
        <v>147</v>
      </c>
      <c r="I172" s="5" t="s">
        <v>147</v>
      </c>
    </row>
    <row r="173" spans="1:9" ht="30.6">
      <c r="A173" s="190"/>
      <c r="B173" s="88"/>
      <c r="C173" s="211"/>
      <c r="D173" s="10" t="s">
        <v>193</v>
      </c>
      <c r="E173" s="14">
        <v>2</v>
      </c>
      <c r="F173" s="5" t="s">
        <v>147</v>
      </c>
      <c r="G173" s="5" t="s">
        <v>147</v>
      </c>
      <c r="H173" s="5" t="s">
        <v>147</v>
      </c>
      <c r="I173" s="5" t="s">
        <v>147</v>
      </c>
    </row>
    <row r="174" spans="1:9" ht="20.399999999999999">
      <c r="A174" s="191"/>
      <c r="B174" s="89"/>
      <c r="C174" s="212"/>
      <c r="D174" s="7" t="s">
        <v>194</v>
      </c>
      <c r="E174" s="14">
        <v>2</v>
      </c>
      <c r="F174" s="5" t="s">
        <v>147</v>
      </c>
      <c r="G174" s="5" t="s">
        <v>147</v>
      </c>
      <c r="H174" s="5" t="s">
        <v>147</v>
      </c>
      <c r="I174" s="5" t="s">
        <v>147</v>
      </c>
    </row>
    <row r="175" spans="1:9" ht="20.399999999999999">
      <c r="A175" s="88"/>
      <c r="B175" s="89"/>
      <c r="C175" s="95"/>
      <c r="D175" s="7" t="s">
        <v>194</v>
      </c>
      <c r="E175" s="14">
        <v>2</v>
      </c>
      <c r="F175" s="5" t="s">
        <v>147</v>
      </c>
      <c r="G175" s="5" t="s">
        <v>147</v>
      </c>
      <c r="H175" s="5" t="s">
        <v>147</v>
      </c>
      <c r="I175" s="5" t="s">
        <v>147</v>
      </c>
    </row>
    <row r="176" spans="1:9">
      <c r="A176" s="189">
        <v>8</v>
      </c>
      <c r="B176" s="87"/>
      <c r="C176" s="210" t="s">
        <v>152</v>
      </c>
      <c r="D176" s="7" t="s">
        <v>195</v>
      </c>
      <c r="E176" s="14">
        <v>2</v>
      </c>
      <c r="F176" s="5" t="s">
        <v>147</v>
      </c>
      <c r="G176" s="5" t="s">
        <v>147</v>
      </c>
      <c r="H176" s="5" t="s">
        <v>147</v>
      </c>
      <c r="I176" s="5" t="s">
        <v>147</v>
      </c>
    </row>
    <row r="177" spans="1:9">
      <c r="A177" s="190"/>
      <c r="B177" s="87"/>
      <c r="C177" s="211"/>
      <c r="D177" s="7" t="s">
        <v>195</v>
      </c>
      <c r="E177" s="14">
        <v>2</v>
      </c>
      <c r="F177" s="5" t="s">
        <v>147</v>
      </c>
      <c r="G177" s="5" t="s">
        <v>147</v>
      </c>
      <c r="H177" s="5" t="s">
        <v>147</v>
      </c>
      <c r="I177" s="5" t="s">
        <v>147</v>
      </c>
    </row>
    <row r="178" spans="1:9">
      <c r="A178" s="190"/>
      <c r="B178" s="88"/>
      <c r="C178" s="211"/>
      <c r="D178" s="7" t="s">
        <v>196</v>
      </c>
      <c r="E178" s="14">
        <v>2</v>
      </c>
      <c r="F178" s="5" t="s">
        <v>147</v>
      </c>
      <c r="G178" s="5" t="s">
        <v>147</v>
      </c>
      <c r="H178" s="5" t="s">
        <v>147</v>
      </c>
      <c r="I178" s="5" t="s">
        <v>147</v>
      </c>
    </row>
    <row r="179" spans="1:9">
      <c r="A179" s="190"/>
      <c r="B179" s="88"/>
      <c r="C179" s="211"/>
      <c r="D179" s="7" t="s">
        <v>196</v>
      </c>
      <c r="E179" s="14">
        <v>2</v>
      </c>
      <c r="F179" s="5" t="s">
        <v>147</v>
      </c>
      <c r="G179" s="5" t="s">
        <v>147</v>
      </c>
      <c r="H179" s="5" t="s">
        <v>147</v>
      </c>
      <c r="I179" s="5" t="s">
        <v>147</v>
      </c>
    </row>
    <row r="180" spans="1:9">
      <c r="A180" s="191"/>
      <c r="B180" s="89"/>
      <c r="C180" s="212"/>
      <c r="D180" s="7" t="s">
        <v>197</v>
      </c>
      <c r="E180" s="14">
        <v>2</v>
      </c>
      <c r="F180" s="5" t="s">
        <v>147</v>
      </c>
      <c r="G180" s="5" t="s">
        <v>147</v>
      </c>
      <c r="H180" s="5" t="s">
        <v>147</v>
      </c>
      <c r="I180" s="5" t="s">
        <v>147</v>
      </c>
    </row>
    <row r="181" spans="1:9">
      <c r="A181" s="89"/>
      <c r="B181" s="89"/>
      <c r="C181" s="95"/>
      <c r="D181" s="7" t="s">
        <v>197</v>
      </c>
      <c r="E181" s="14">
        <v>2</v>
      </c>
      <c r="F181" s="5" t="s">
        <v>147</v>
      </c>
      <c r="G181" s="5" t="s">
        <v>147</v>
      </c>
      <c r="H181" s="5" t="s">
        <v>147</v>
      </c>
      <c r="I181" s="5" t="s">
        <v>147</v>
      </c>
    </row>
    <row r="182" spans="1:9" ht="14.4" customHeight="1">
      <c r="A182" s="9">
        <v>1</v>
      </c>
      <c r="B182" s="91"/>
      <c r="C182" s="213" t="s">
        <v>198</v>
      </c>
      <c r="D182" s="7" t="s">
        <v>199</v>
      </c>
      <c r="E182" s="9">
        <v>6</v>
      </c>
      <c r="F182" s="18" t="s">
        <v>200</v>
      </c>
      <c r="G182" s="19" t="s">
        <v>25</v>
      </c>
      <c r="H182" s="19" t="s">
        <v>12</v>
      </c>
      <c r="I182" s="19" t="s">
        <v>25</v>
      </c>
    </row>
    <row r="183" spans="1:9" ht="14.4" customHeight="1">
      <c r="A183" s="9">
        <v>1</v>
      </c>
      <c r="B183" s="91"/>
      <c r="C183" s="214"/>
      <c r="D183" s="7" t="s">
        <v>199</v>
      </c>
      <c r="E183" s="9">
        <v>6</v>
      </c>
      <c r="F183" s="18" t="s">
        <v>200</v>
      </c>
      <c r="G183" s="19" t="s">
        <v>25</v>
      </c>
      <c r="H183" s="19" t="s">
        <v>12</v>
      </c>
      <c r="I183" s="19" t="s">
        <v>25</v>
      </c>
    </row>
    <row r="184" spans="1:9" ht="14.4" customHeight="1">
      <c r="A184" s="9">
        <v>1</v>
      </c>
      <c r="B184" s="91"/>
      <c r="C184" s="214"/>
      <c r="D184" s="7" t="s">
        <v>199</v>
      </c>
      <c r="E184" s="9">
        <v>6</v>
      </c>
      <c r="F184" s="18" t="s">
        <v>200</v>
      </c>
      <c r="G184" s="19" t="s">
        <v>25</v>
      </c>
      <c r="H184" s="19" t="s">
        <v>12</v>
      </c>
      <c r="I184" s="19" t="s">
        <v>25</v>
      </c>
    </row>
    <row r="185" spans="1:9" ht="14.4" customHeight="1">
      <c r="A185" s="9">
        <v>1</v>
      </c>
      <c r="B185" s="91"/>
      <c r="C185" s="214"/>
      <c r="D185" s="7" t="s">
        <v>199</v>
      </c>
      <c r="E185" s="9">
        <v>6</v>
      </c>
      <c r="F185" s="18" t="s">
        <v>200</v>
      </c>
      <c r="G185" s="19" t="s">
        <v>25</v>
      </c>
      <c r="H185" s="19" t="s">
        <v>12</v>
      </c>
      <c r="I185" s="19" t="s">
        <v>25</v>
      </c>
    </row>
    <row r="186" spans="1:9" ht="14.4" customHeight="1">
      <c r="A186" s="9">
        <v>1</v>
      </c>
      <c r="B186" s="91"/>
      <c r="C186" s="214"/>
      <c r="D186" s="7" t="s">
        <v>199</v>
      </c>
      <c r="E186" s="9">
        <v>6</v>
      </c>
      <c r="F186" s="18" t="s">
        <v>200</v>
      </c>
      <c r="G186" s="19" t="s">
        <v>25</v>
      </c>
      <c r="H186" s="19" t="s">
        <v>12</v>
      </c>
      <c r="I186" s="19" t="s">
        <v>25</v>
      </c>
    </row>
    <row r="187" spans="1:9" ht="14.4" customHeight="1">
      <c r="A187" s="9">
        <v>1</v>
      </c>
      <c r="B187" s="91"/>
      <c r="C187" s="214"/>
      <c r="D187" s="7" t="s">
        <v>199</v>
      </c>
      <c r="E187" s="9">
        <v>6</v>
      </c>
      <c r="F187" s="18" t="s">
        <v>200</v>
      </c>
      <c r="G187" s="19" t="s">
        <v>25</v>
      </c>
      <c r="H187" s="19" t="s">
        <v>12</v>
      </c>
      <c r="I187" s="19" t="s">
        <v>25</v>
      </c>
    </row>
    <row r="188" spans="1:9" ht="30.6">
      <c r="A188" s="6">
        <v>2</v>
      </c>
      <c r="B188" s="88"/>
      <c r="C188" s="214"/>
      <c r="D188" s="7" t="s">
        <v>201</v>
      </c>
      <c r="E188" s="6">
        <v>2</v>
      </c>
      <c r="F188" s="8" t="s">
        <v>147</v>
      </c>
      <c r="G188" s="8" t="s">
        <v>147</v>
      </c>
      <c r="H188" s="8" t="s">
        <v>147</v>
      </c>
      <c r="I188" s="8" t="s">
        <v>147</v>
      </c>
    </row>
    <row r="189" spans="1:9" ht="30.6">
      <c r="A189" s="6">
        <v>2</v>
      </c>
      <c r="B189" s="88"/>
      <c r="C189" s="214"/>
      <c r="D189" s="7" t="s">
        <v>201</v>
      </c>
      <c r="E189" s="6">
        <v>2</v>
      </c>
      <c r="F189" s="8" t="s">
        <v>147</v>
      </c>
      <c r="G189" s="8" t="s">
        <v>147</v>
      </c>
      <c r="H189" s="8" t="s">
        <v>147</v>
      </c>
      <c r="I189" s="8" t="s">
        <v>147</v>
      </c>
    </row>
    <row r="190" spans="1:9" ht="30.6">
      <c r="A190" s="6">
        <v>3</v>
      </c>
      <c r="B190" s="88"/>
      <c r="C190" s="214"/>
      <c r="D190" s="7" t="s">
        <v>202</v>
      </c>
      <c r="E190" s="6">
        <v>2</v>
      </c>
      <c r="F190" s="8" t="s">
        <v>147</v>
      </c>
      <c r="G190" s="8" t="s">
        <v>147</v>
      </c>
      <c r="H190" s="8" t="s">
        <v>147</v>
      </c>
      <c r="I190" s="8" t="s">
        <v>147</v>
      </c>
    </row>
    <row r="191" spans="1:9" ht="30.6">
      <c r="A191" s="6">
        <v>3</v>
      </c>
      <c r="B191" s="88"/>
      <c r="C191" s="214"/>
      <c r="D191" s="7" t="s">
        <v>202</v>
      </c>
      <c r="E191" s="6">
        <v>2</v>
      </c>
      <c r="F191" s="8" t="s">
        <v>147</v>
      </c>
      <c r="G191" s="8" t="s">
        <v>147</v>
      </c>
      <c r="H191" s="8" t="s">
        <v>147</v>
      </c>
      <c r="I191" s="8" t="s">
        <v>147</v>
      </c>
    </row>
    <row r="192" spans="1:9">
      <c r="A192" s="9">
        <v>4</v>
      </c>
      <c r="B192" s="92"/>
      <c r="C192" s="214"/>
      <c r="D192" s="7" t="s">
        <v>203</v>
      </c>
      <c r="E192" s="9">
        <v>2</v>
      </c>
      <c r="F192" s="8" t="s">
        <v>204</v>
      </c>
      <c r="G192" s="8" t="s">
        <v>205</v>
      </c>
      <c r="H192" s="8" t="s">
        <v>7</v>
      </c>
      <c r="I192" s="31" t="s">
        <v>19</v>
      </c>
    </row>
    <row r="193" spans="1:9">
      <c r="A193" s="9">
        <v>4</v>
      </c>
      <c r="B193" s="92"/>
      <c r="C193" s="214"/>
      <c r="D193" s="7" t="s">
        <v>203</v>
      </c>
      <c r="E193" s="9">
        <v>2</v>
      </c>
      <c r="F193" s="8" t="s">
        <v>204</v>
      </c>
      <c r="G193" s="8" t="s">
        <v>205</v>
      </c>
      <c r="H193" s="8" t="s">
        <v>7</v>
      </c>
      <c r="I193" s="31" t="s">
        <v>21</v>
      </c>
    </row>
    <row r="194" spans="1:9" ht="20.399999999999999">
      <c r="A194" s="9">
        <v>5</v>
      </c>
      <c r="B194" s="93"/>
      <c r="C194" s="215"/>
      <c r="D194" s="7" t="s">
        <v>206</v>
      </c>
      <c r="E194" s="9">
        <v>2</v>
      </c>
      <c r="F194" s="8" t="s">
        <v>205</v>
      </c>
      <c r="G194" s="8" t="s">
        <v>204</v>
      </c>
      <c r="H194" s="8" t="s">
        <v>7</v>
      </c>
      <c r="I194" s="31" t="s">
        <v>20</v>
      </c>
    </row>
    <row r="195" spans="1:9" ht="20.399999999999999">
      <c r="A195" s="9">
        <v>5</v>
      </c>
      <c r="B195" s="93"/>
      <c r="C195" s="102"/>
      <c r="D195" s="7" t="s">
        <v>206</v>
      </c>
      <c r="E195" s="9">
        <v>2</v>
      </c>
      <c r="F195" s="8" t="s">
        <v>205</v>
      </c>
      <c r="G195" s="8" t="s">
        <v>204</v>
      </c>
      <c r="H195" s="8" t="s">
        <v>7</v>
      </c>
      <c r="I195" s="31" t="s">
        <v>25</v>
      </c>
    </row>
    <row r="196" spans="1:9" ht="20.399999999999999" customHeight="1">
      <c r="A196" s="9">
        <v>1</v>
      </c>
      <c r="B196" s="91"/>
      <c r="C196" s="192" t="s">
        <v>207</v>
      </c>
      <c r="D196" s="10" t="s">
        <v>208</v>
      </c>
      <c r="E196" s="9">
        <v>1</v>
      </c>
      <c r="F196" s="12" t="s">
        <v>6</v>
      </c>
      <c r="G196" s="7" t="s">
        <v>79</v>
      </c>
      <c r="H196" s="12" t="s">
        <v>16</v>
      </c>
      <c r="I196" s="31" t="s">
        <v>16</v>
      </c>
    </row>
    <row r="197" spans="1:9" ht="20.399999999999999">
      <c r="A197" s="9">
        <v>2</v>
      </c>
      <c r="B197" s="92"/>
      <c r="C197" s="193"/>
      <c r="D197" s="10" t="s">
        <v>209</v>
      </c>
      <c r="E197" s="9">
        <v>1</v>
      </c>
      <c r="F197" s="12" t="s">
        <v>25</v>
      </c>
      <c r="G197" s="12" t="s">
        <v>14</v>
      </c>
      <c r="H197" s="7" t="s">
        <v>69</v>
      </c>
      <c r="I197" s="31" t="s">
        <v>16</v>
      </c>
    </row>
    <row r="198" spans="1:9">
      <c r="A198" s="9">
        <v>3</v>
      </c>
      <c r="B198" s="92"/>
      <c r="C198" s="193"/>
      <c r="D198" s="7" t="s">
        <v>210</v>
      </c>
      <c r="E198" s="9">
        <v>2</v>
      </c>
      <c r="F198" s="7" t="s">
        <v>79</v>
      </c>
      <c r="G198" s="12" t="s">
        <v>14</v>
      </c>
      <c r="H198" s="7" t="s">
        <v>69</v>
      </c>
      <c r="I198" s="31" t="s">
        <v>27</v>
      </c>
    </row>
    <row r="199" spans="1:9">
      <c r="A199" s="9">
        <v>3</v>
      </c>
      <c r="B199" s="92"/>
      <c r="C199" s="193"/>
      <c r="D199" s="7" t="s">
        <v>210</v>
      </c>
      <c r="E199" s="9">
        <v>2</v>
      </c>
      <c r="F199" s="7" t="s">
        <v>79</v>
      </c>
      <c r="G199" s="12" t="s">
        <v>14</v>
      </c>
      <c r="H199" s="7" t="s">
        <v>69</v>
      </c>
      <c r="I199" s="34" t="s">
        <v>12</v>
      </c>
    </row>
    <row r="200" spans="1:9" ht="20.399999999999999">
      <c r="A200" s="9">
        <v>4</v>
      </c>
      <c r="B200" s="92"/>
      <c r="C200" s="193"/>
      <c r="D200" s="10" t="s">
        <v>211</v>
      </c>
      <c r="E200" s="9">
        <v>2</v>
      </c>
      <c r="F200" s="12" t="s">
        <v>14</v>
      </c>
      <c r="G200" s="7" t="s">
        <v>69</v>
      </c>
      <c r="H200" s="12" t="s">
        <v>27</v>
      </c>
      <c r="I200" s="31" t="s">
        <v>17</v>
      </c>
    </row>
    <row r="201" spans="1:9" ht="20.399999999999999">
      <c r="A201" s="9">
        <v>4</v>
      </c>
      <c r="B201" s="92"/>
      <c r="C201" s="193"/>
      <c r="D201" s="10" t="s">
        <v>211</v>
      </c>
      <c r="E201" s="9">
        <v>2</v>
      </c>
      <c r="F201" s="12" t="s">
        <v>14</v>
      </c>
      <c r="G201" s="7" t="s">
        <v>69</v>
      </c>
      <c r="H201" s="12" t="s">
        <v>27</v>
      </c>
      <c r="I201" s="31" t="s">
        <v>17</v>
      </c>
    </row>
    <row r="202" spans="1:9" ht="30.6">
      <c r="A202" s="6">
        <v>5</v>
      </c>
      <c r="B202" s="88"/>
      <c r="C202" s="193"/>
      <c r="D202" s="7" t="s">
        <v>212</v>
      </c>
      <c r="E202" s="6">
        <v>6</v>
      </c>
      <c r="F202" s="16" t="s">
        <v>147</v>
      </c>
      <c r="G202" s="16" t="s">
        <v>147</v>
      </c>
      <c r="H202" s="16" t="s">
        <v>147</v>
      </c>
      <c r="I202" s="31" t="s">
        <v>12</v>
      </c>
    </row>
    <row r="203" spans="1:9" ht="30.6">
      <c r="A203" s="6">
        <v>5</v>
      </c>
      <c r="B203" s="88"/>
      <c r="C203" s="193"/>
      <c r="D203" s="7" t="s">
        <v>212</v>
      </c>
      <c r="E203" s="6">
        <v>6</v>
      </c>
      <c r="F203" s="16" t="s">
        <v>147</v>
      </c>
      <c r="G203" s="16" t="s">
        <v>147</v>
      </c>
      <c r="H203" s="16" t="s">
        <v>147</v>
      </c>
      <c r="I203" s="31" t="s">
        <v>123</v>
      </c>
    </row>
    <row r="204" spans="1:9" ht="30.6">
      <c r="A204" s="6">
        <v>5</v>
      </c>
      <c r="B204" s="88"/>
      <c r="C204" s="193"/>
      <c r="D204" s="7" t="s">
        <v>212</v>
      </c>
      <c r="E204" s="6">
        <v>6</v>
      </c>
      <c r="F204" s="16" t="s">
        <v>147</v>
      </c>
      <c r="G204" s="16" t="s">
        <v>147</v>
      </c>
      <c r="H204" s="16" t="s">
        <v>147</v>
      </c>
      <c r="I204" s="34" t="s">
        <v>19</v>
      </c>
    </row>
    <row r="205" spans="1:9" ht="30.6">
      <c r="A205" s="6">
        <v>5</v>
      </c>
      <c r="B205" s="88"/>
      <c r="C205" s="193"/>
      <c r="D205" s="7" t="s">
        <v>212</v>
      </c>
      <c r="E205" s="6">
        <v>6</v>
      </c>
      <c r="F205" s="16" t="s">
        <v>147</v>
      </c>
      <c r="G205" s="16" t="s">
        <v>147</v>
      </c>
      <c r="H205" s="16" t="s">
        <v>147</v>
      </c>
      <c r="I205" s="34" t="s">
        <v>25</v>
      </c>
    </row>
    <row r="206" spans="1:9" ht="30.6">
      <c r="A206" s="6">
        <v>5</v>
      </c>
      <c r="B206" s="88"/>
      <c r="C206" s="193"/>
      <c r="D206" s="7" t="s">
        <v>212</v>
      </c>
      <c r="E206" s="6">
        <v>6</v>
      </c>
      <c r="F206" s="16" t="s">
        <v>147</v>
      </c>
      <c r="G206" s="16" t="s">
        <v>147</v>
      </c>
      <c r="H206" s="16" t="s">
        <v>147</v>
      </c>
      <c r="I206" s="31" t="s">
        <v>122</v>
      </c>
    </row>
    <row r="207" spans="1:9" ht="30.6">
      <c r="A207" s="6">
        <v>5</v>
      </c>
      <c r="B207" s="88"/>
      <c r="C207" s="193"/>
      <c r="D207" s="7" t="s">
        <v>212</v>
      </c>
      <c r="E207" s="6">
        <v>6</v>
      </c>
      <c r="F207" s="16" t="s">
        <v>147</v>
      </c>
      <c r="G207" s="16" t="s">
        <v>147</v>
      </c>
      <c r="H207" s="16" t="s">
        <v>147</v>
      </c>
      <c r="I207" s="31" t="s">
        <v>122</v>
      </c>
    </row>
    <row r="208" spans="1:9">
      <c r="A208" s="9">
        <v>6</v>
      </c>
      <c r="B208" s="93"/>
      <c r="C208" s="194"/>
      <c r="D208" s="7" t="s">
        <v>213</v>
      </c>
      <c r="E208" s="9">
        <v>2</v>
      </c>
      <c r="F208" s="7" t="s">
        <v>56</v>
      </c>
      <c r="G208" s="7" t="s">
        <v>56</v>
      </c>
      <c r="H208" s="7" t="s">
        <v>56</v>
      </c>
      <c r="I208" s="31" t="s">
        <v>65</v>
      </c>
    </row>
    <row r="209" spans="1:9">
      <c r="A209" s="9">
        <v>6</v>
      </c>
      <c r="B209" s="93"/>
      <c r="C209" s="90"/>
      <c r="D209" s="7" t="s">
        <v>213</v>
      </c>
      <c r="E209" s="9">
        <v>2</v>
      </c>
      <c r="F209" s="7" t="s">
        <v>56</v>
      </c>
      <c r="G209" s="7" t="s">
        <v>56</v>
      </c>
      <c r="H209" s="7" t="s">
        <v>56</v>
      </c>
      <c r="I209" s="7" t="s">
        <v>56</v>
      </c>
    </row>
    <row r="210" spans="1:9">
      <c r="A210" s="9">
        <v>7</v>
      </c>
      <c r="B210" s="9"/>
      <c r="C210" s="7" t="s">
        <v>214</v>
      </c>
      <c r="D210" s="7" t="s">
        <v>215</v>
      </c>
      <c r="E210" s="9">
        <v>1</v>
      </c>
      <c r="F210" s="7" t="s">
        <v>56</v>
      </c>
      <c r="G210" s="7" t="s">
        <v>56</v>
      </c>
      <c r="H210" s="7" t="s">
        <v>56</v>
      </c>
      <c r="I210" s="7" t="s">
        <v>56</v>
      </c>
    </row>
    <row r="211" spans="1:9" ht="81.599999999999994">
      <c r="A211" s="6">
        <v>1</v>
      </c>
      <c r="B211" s="6"/>
      <c r="C211" s="13" t="s">
        <v>216</v>
      </c>
      <c r="D211" s="7" t="s">
        <v>217</v>
      </c>
      <c r="E211" s="6">
        <v>1</v>
      </c>
      <c r="F211" s="20" t="s">
        <v>218</v>
      </c>
      <c r="G211" s="20" t="s">
        <v>218</v>
      </c>
      <c r="H211" s="20" t="s">
        <v>218</v>
      </c>
      <c r="I211" s="20" t="s">
        <v>218</v>
      </c>
    </row>
    <row r="212" spans="1:9" ht="61.2">
      <c r="A212" s="21">
        <v>2</v>
      </c>
      <c r="B212" s="21"/>
      <c r="C212" s="13" t="s">
        <v>219</v>
      </c>
      <c r="D212" s="13" t="s">
        <v>220</v>
      </c>
      <c r="E212" s="6">
        <v>1</v>
      </c>
      <c r="F212" s="20" t="s">
        <v>218</v>
      </c>
      <c r="G212" s="20" t="s">
        <v>218</v>
      </c>
      <c r="H212" s="20" t="s">
        <v>218</v>
      </c>
      <c r="I212" s="20" t="s">
        <v>218</v>
      </c>
    </row>
    <row r="213" spans="1:9" ht="51">
      <c r="A213" s="21">
        <v>3</v>
      </c>
      <c r="B213" s="21"/>
      <c r="C213" s="10" t="s">
        <v>221</v>
      </c>
      <c r="D213" s="7" t="s">
        <v>222</v>
      </c>
      <c r="E213" s="6">
        <v>2</v>
      </c>
      <c r="F213" s="20" t="s">
        <v>218</v>
      </c>
      <c r="G213" s="20" t="s">
        <v>218</v>
      </c>
      <c r="H213" s="20" t="s">
        <v>218</v>
      </c>
      <c r="I213" s="20" t="s">
        <v>218</v>
      </c>
    </row>
    <row r="214" spans="1:9" ht="51">
      <c r="A214" s="21">
        <v>3</v>
      </c>
      <c r="B214" s="21"/>
      <c r="C214" s="10" t="s">
        <v>221</v>
      </c>
      <c r="D214" s="7" t="s">
        <v>222</v>
      </c>
      <c r="E214" s="6">
        <v>2</v>
      </c>
      <c r="F214" s="20" t="s">
        <v>218</v>
      </c>
      <c r="G214" s="20" t="s">
        <v>218</v>
      </c>
      <c r="H214" s="20" t="s">
        <v>218</v>
      </c>
      <c r="I214" s="20" t="s">
        <v>218</v>
      </c>
    </row>
    <row r="215" spans="1:9" ht="163.19999999999999">
      <c r="A215" s="21">
        <v>4</v>
      </c>
      <c r="B215" s="21"/>
      <c r="C215" s="13" t="s">
        <v>223</v>
      </c>
      <c r="D215" s="10" t="s">
        <v>224</v>
      </c>
      <c r="E215" s="6">
        <v>1</v>
      </c>
      <c r="F215" s="20" t="s">
        <v>218</v>
      </c>
      <c r="G215" s="20" t="s">
        <v>218</v>
      </c>
      <c r="H215" s="20" t="s">
        <v>218</v>
      </c>
      <c r="I215" s="20" t="s">
        <v>218</v>
      </c>
    </row>
    <row r="216" spans="1:9" ht="51">
      <c r="A216" s="21">
        <v>5</v>
      </c>
      <c r="B216" s="21"/>
      <c r="C216" s="13" t="s">
        <v>225</v>
      </c>
      <c r="D216" s="7" t="s">
        <v>226</v>
      </c>
      <c r="E216" s="6">
        <v>1</v>
      </c>
      <c r="F216" s="22" t="s">
        <v>12</v>
      </c>
      <c r="G216" s="22" t="s">
        <v>26</v>
      </c>
      <c r="H216" s="22" t="s">
        <v>22</v>
      </c>
      <c r="I216" s="22" t="s">
        <v>26</v>
      </c>
    </row>
    <row r="217" spans="1:9" ht="71.400000000000006">
      <c r="A217" s="189">
        <v>6</v>
      </c>
      <c r="B217" s="87"/>
      <c r="C217" s="192" t="s">
        <v>227</v>
      </c>
      <c r="D217" s="7" t="s">
        <v>228</v>
      </c>
      <c r="E217" s="189">
        <v>2</v>
      </c>
      <c r="F217" s="172" t="s">
        <v>218</v>
      </c>
      <c r="G217" s="172" t="s">
        <v>218</v>
      </c>
      <c r="H217" s="172" t="s">
        <v>218</v>
      </c>
      <c r="I217" s="172" t="s">
        <v>218</v>
      </c>
    </row>
    <row r="218" spans="1:9" ht="71.400000000000006">
      <c r="A218" s="190"/>
      <c r="B218" s="87"/>
      <c r="C218" s="193"/>
      <c r="D218" s="7" t="s">
        <v>228</v>
      </c>
      <c r="E218" s="190"/>
      <c r="F218" s="173"/>
      <c r="G218" s="173"/>
      <c r="H218" s="173"/>
      <c r="I218" s="173"/>
    </row>
    <row r="219" spans="1:9" ht="30.6">
      <c r="A219" s="190"/>
      <c r="B219" s="88"/>
      <c r="C219" s="193"/>
      <c r="D219" s="10" t="s">
        <v>229</v>
      </c>
      <c r="E219" s="190"/>
      <c r="F219" s="173"/>
      <c r="G219" s="173"/>
      <c r="H219" s="173"/>
      <c r="I219" s="173"/>
    </row>
    <row r="220" spans="1:9" ht="30.6">
      <c r="A220" s="190"/>
      <c r="B220" s="88"/>
      <c r="C220" s="193"/>
      <c r="D220" s="10" t="s">
        <v>230</v>
      </c>
      <c r="E220" s="190"/>
      <c r="F220" s="173"/>
      <c r="G220" s="173"/>
      <c r="H220" s="173"/>
      <c r="I220" s="173"/>
    </row>
    <row r="221" spans="1:9" ht="30.6">
      <c r="A221" s="191"/>
      <c r="B221" s="89"/>
      <c r="C221" s="194"/>
      <c r="D221" s="10" t="s">
        <v>231</v>
      </c>
      <c r="E221" s="191"/>
      <c r="F221" s="174"/>
      <c r="G221" s="174"/>
      <c r="H221" s="174"/>
      <c r="I221" s="174"/>
    </row>
    <row r="222" spans="1:9" ht="61.2">
      <c r="A222" s="21">
        <v>7</v>
      </c>
      <c r="B222" s="21"/>
      <c r="C222" s="7" t="s">
        <v>232</v>
      </c>
      <c r="D222" s="10" t="s">
        <v>233</v>
      </c>
      <c r="E222" s="6">
        <v>1</v>
      </c>
      <c r="F222" s="23" t="s">
        <v>234</v>
      </c>
      <c r="G222" s="23" t="s">
        <v>26</v>
      </c>
      <c r="H222" s="23" t="s">
        <v>19</v>
      </c>
      <c r="I222" s="23" t="s">
        <v>26</v>
      </c>
    </row>
    <row r="223" spans="1:9" ht="61.2">
      <c r="A223" s="189">
        <v>8</v>
      </c>
      <c r="B223" s="87"/>
      <c r="C223" s="192" t="s">
        <v>235</v>
      </c>
      <c r="D223" s="10" t="s">
        <v>236</v>
      </c>
      <c r="E223" s="189">
        <v>1</v>
      </c>
      <c r="F223" s="178" t="s">
        <v>26</v>
      </c>
      <c r="G223" s="178" t="s">
        <v>12</v>
      </c>
      <c r="H223" s="175" t="s">
        <v>237</v>
      </c>
      <c r="I223" s="178" t="s">
        <v>12</v>
      </c>
    </row>
    <row r="224" spans="1:9" ht="61.2">
      <c r="A224" s="190"/>
      <c r="B224" s="88"/>
      <c r="C224" s="193"/>
      <c r="D224" s="10" t="s">
        <v>238</v>
      </c>
      <c r="E224" s="190"/>
      <c r="F224" s="179"/>
      <c r="G224" s="179"/>
      <c r="H224" s="176"/>
      <c r="I224" s="179"/>
    </row>
    <row r="225" spans="1:9" ht="20.399999999999999">
      <c r="A225" s="191"/>
      <c r="B225" s="89"/>
      <c r="C225" s="194"/>
      <c r="D225" s="7" t="s">
        <v>239</v>
      </c>
      <c r="E225" s="191"/>
      <c r="F225" s="180"/>
      <c r="G225" s="180"/>
      <c r="H225" s="177"/>
      <c r="I225" s="180"/>
    </row>
    <row r="226" spans="1:9" ht="61.2">
      <c r="A226" s="189">
        <v>9</v>
      </c>
      <c r="B226" s="87"/>
      <c r="C226" s="192" t="s">
        <v>240</v>
      </c>
      <c r="D226" s="7" t="s">
        <v>241</v>
      </c>
      <c r="E226" s="189">
        <v>2</v>
      </c>
      <c r="F226" s="178" t="s">
        <v>242</v>
      </c>
      <c r="G226" s="178" t="s">
        <v>12</v>
      </c>
      <c r="H226" s="178" t="s">
        <v>25</v>
      </c>
      <c r="I226" s="178" t="s">
        <v>12</v>
      </c>
    </row>
    <row r="227" spans="1:9" ht="61.2">
      <c r="A227" s="190"/>
      <c r="B227" s="87"/>
      <c r="C227" s="193"/>
      <c r="D227" s="7" t="s">
        <v>241</v>
      </c>
      <c r="E227" s="190"/>
      <c r="F227" s="179"/>
      <c r="G227" s="179"/>
      <c r="H227" s="179"/>
      <c r="I227" s="179"/>
    </row>
    <row r="228" spans="1:9" ht="30.6">
      <c r="A228" s="191"/>
      <c r="B228" s="89"/>
      <c r="C228" s="194"/>
      <c r="D228" s="10" t="s">
        <v>243</v>
      </c>
      <c r="E228" s="191"/>
      <c r="F228" s="180"/>
      <c r="G228" s="180"/>
      <c r="H228" s="180"/>
      <c r="I228" s="180"/>
    </row>
    <row r="229" spans="1:9" ht="81.599999999999994">
      <c r="A229" s="201">
        <v>10</v>
      </c>
      <c r="B229" s="96"/>
      <c r="C229" s="207" t="s">
        <v>244</v>
      </c>
      <c r="D229" s="7" t="s">
        <v>245</v>
      </c>
      <c r="E229" s="189">
        <v>4</v>
      </c>
      <c r="F229" s="172" t="s">
        <v>218</v>
      </c>
      <c r="G229" s="172" t="s">
        <v>218</v>
      </c>
      <c r="H229" s="172" t="s">
        <v>218</v>
      </c>
      <c r="I229" s="172" t="s">
        <v>218</v>
      </c>
    </row>
    <row r="230" spans="1:9" ht="81.599999999999994">
      <c r="A230" s="202"/>
      <c r="B230" s="96"/>
      <c r="C230" s="208"/>
      <c r="D230" s="7" t="s">
        <v>245</v>
      </c>
      <c r="E230" s="190"/>
      <c r="F230" s="173"/>
      <c r="G230" s="173"/>
      <c r="H230" s="173"/>
      <c r="I230" s="173"/>
    </row>
    <row r="231" spans="1:9" ht="81.599999999999994">
      <c r="A231" s="202"/>
      <c r="B231" s="96"/>
      <c r="C231" s="208"/>
      <c r="D231" s="7" t="s">
        <v>245</v>
      </c>
      <c r="E231" s="190"/>
      <c r="F231" s="173"/>
      <c r="G231" s="173"/>
      <c r="H231" s="173"/>
      <c r="I231" s="173"/>
    </row>
    <row r="232" spans="1:9" ht="81.599999999999994">
      <c r="A232" s="202"/>
      <c r="B232" s="96"/>
      <c r="C232" s="208"/>
      <c r="D232" s="7" t="s">
        <v>245</v>
      </c>
      <c r="E232" s="190"/>
      <c r="F232" s="173"/>
      <c r="G232" s="173"/>
      <c r="H232" s="173"/>
      <c r="I232" s="173"/>
    </row>
    <row r="233" spans="1:9" ht="30.6">
      <c r="A233" s="203"/>
      <c r="B233" s="97"/>
      <c r="C233" s="209"/>
      <c r="D233" s="10" t="s">
        <v>246</v>
      </c>
      <c r="E233" s="191"/>
      <c r="F233" s="174"/>
      <c r="G233" s="174"/>
      <c r="H233" s="174"/>
      <c r="I233" s="174"/>
    </row>
    <row r="234" spans="1:9" ht="20.399999999999999" customHeight="1">
      <c r="A234" s="201">
        <v>11</v>
      </c>
      <c r="B234" s="96"/>
      <c r="C234" s="204" t="s">
        <v>38</v>
      </c>
      <c r="D234" s="12" t="s">
        <v>39</v>
      </c>
      <c r="E234" s="189">
        <v>2</v>
      </c>
      <c r="F234" s="181" t="s">
        <v>40</v>
      </c>
      <c r="G234" s="181" t="s">
        <v>40</v>
      </c>
      <c r="H234" s="181" t="s">
        <v>40</v>
      </c>
      <c r="I234" s="181" t="s">
        <v>40</v>
      </c>
    </row>
    <row r="235" spans="1:9" ht="20.399999999999999" customHeight="1">
      <c r="A235" s="202"/>
      <c r="B235" s="96"/>
      <c r="C235" s="205"/>
      <c r="D235" s="12" t="s">
        <v>39</v>
      </c>
      <c r="E235" s="190"/>
      <c r="F235" s="182"/>
      <c r="G235" s="182"/>
      <c r="H235" s="182"/>
      <c r="I235" s="182"/>
    </row>
    <row r="236" spans="1:9" ht="51">
      <c r="A236" s="203"/>
      <c r="B236" s="97"/>
      <c r="C236" s="206"/>
      <c r="D236" s="12" t="s">
        <v>41</v>
      </c>
      <c r="E236" s="191"/>
      <c r="F236" s="183"/>
      <c r="G236" s="183"/>
      <c r="H236" s="183"/>
      <c r="I236" s="183"/>
    </row>
    <row r="237" spans="1:9" ht="81.599999999999994">
      <c r="A237" s="21">
        <v>13</v>
      </c>
      <c r="B237" s="21"/>
      <c r="C237" s="12" t="s">
        <v>42</v>
      </c>
      <c r="D237" s="7" t="s">
        <v>247</v>
      </c>
      <c r="E237" s="6">
        <v>2</v>
      </c>
      <c r="F237" s="24" t="s">
        <v>43</v>
      </c>
      <c r="G237" s="24" t="s">
        <v>43</v>
      </c>
      <c r="H237" s="24" t="s">
        <v>43</v>
      </c>
      <c r="I237" s="24" t="s">
        <v>43</v>
      </c>
    </row>
    <row r="238" spans="1:9" ht="81.599999999999994">
      <c r="A238" s="21">
        <v>13</v>
      </c>
      <c r="B238" s="21"/>
      <c r="C238" s="12" t="s">
        <v>42</v>
      </c>
      <c r="D238" s="7" t="s">
        <v>247</v>
      </c>
      <c r="E238" s="6">
        <v>2</v>
      </c>
      <c r="F238" s="24" t="s">
        <v>43</v>
      </c>
      <c r="G238" s="24" t="s">
        <v>43</v>
      </c>
      <c r="H238" s="24" t="s">
        <v>43</v>
      </c>
      <c r="I238" s="24" t="s">
        <v>43</v>
      </c>
    </row>
    <row r="239" spans="1:9">
      <c r="A239" s="9">
        <v>1</v>
      </c>
      <c r="B239" s="111"/>
      <c r="C239" s="168" t="s">
        <v>347</v>
      </c>
      <c r="D239" s="169"/>
      <c r="E239" s="9">
        <v>36</v>
      </c>
      <c r="F239" s="7" t="s">
        <v>138</v>
      </c>
      <c r="G239" s="7" t="s">
        <v>138</v>
      </c>
      <c r="H239" s="7" t="s">
        <v>138</v>
      </c>
      <c r="I239" s="7" t="s">
        <v>138</v>
      </c>
    </row>
    <row r="240" spans="1:9">
      <c r="A240" s="9">
        <v>1</v>
      </c>
      <c r="B240" s="111"/>
      <c r="C240" s="168" t="s">
        <v>347</v>
      </c>
      <c r="D240" s="169"/>
      <c r="E240" s="9">
        <v>36</v>
      </c>
      <c r="F240" s="7" t="s">
        <v>138</v>
      </c>
      <c r="G240" s="7" t="s">
        <v>138</v>
      </c>
      <c r="H240" s="7" t="s">
        <v>138</v>
      </c>
      <c r="I240" s="7" t="s">
        <v>138</v>
      </c>
    </row>
    <row r="241" spans="1:9">
      <c r="A241" s="9">
        <v>1</v>
      </c>
      <c r="B241" s="111"/>
      <c r="C241" s="168" t="s">
        <v>347</v>
      </c>
      <c r="D241" s="169"/>
      <c r="E241" s="9">
        <v>36</v>
      </c>
      <c r="F241" s="7" t="s">
        <v>138</v>
      </c>
      <c r="G241" s="7" t="s">
        <v>138</v>
      </c>
      <c r="H241" s="7" t="s">
        <v>138</v>
      </c>
      <c r="I241" s="7" t="s">
        <v>138</v>
      </c>
    </row>
    <row r="242" spans="1:9">
      <c r="A242" s="9">
        <v>1</v>
      </c>
      <c r="B242" s="111"/>
      <c r="C242" s="168" t="s">
        <v>347</v>
      </c>
      <c r="D242" s="169"/>
      <c r="E242" s="9">
        <v>36</v>
      </c>
      <c r="F242" s="7" t="s">
        <v>138</v>
      </c>
      <c r="G242" s="7" t="s">
        <v>138</v>
      </c>
      <c r="H242" s="7" t="s">
        <v>138</v>
      </c>
      <c r="I242" s="7" t="s">
        <v>138</v>
      </c>
    </row>
    <row r="243" spans="1:9">
      <c r="A243" s="9">
        <v>1</v>
      </c>
      <c r="B243" s="111"/>
      <c r="C243" s="168" t="s">
        <v>347</v>
      </c>
      <c r="D243" s="169"/>
      <c r="E243" s="9">
        <v>36</v>
      </c>
      <c r="F243" s="7" t="s">
        <v>138</v>
      </c>
      <c r="G243" s="7" t="s">
        <v>138</v>
      </c>
      <c r="H243" s="7" t="s">
        <v>138</v>
      </c>
      <c r="I243" s="7" t="s">
        <v>138</v>
      </c>
    </row>
    <row r="244" spans="1:9">
      <c r="A244" s="9">
        <v>1</v>
      </c>
      <c r="B244" s="111"/>
      <c r="C244" s="168" t="s">
        <v>347</v>
      </c>
      <c r="D244" s="169"/>
      <c r="E244" s="9">
        <v>36</v>
      </c>
      <c r="F244" s="7" t="s">
        <v>138</v>
      </c>
      <c r="G244" s="7" t="s">
        <v>138</v>
      </c>
      <c r="H244" s="7" t="s">
        <v>138</v>
      </c>
      <c r="I244" s="7" t="s">
        <v>138</v>
      </c>
    </row>
    <row r="245" spans="1:9">
      <c r="A245" s="9">
        <v>1</v>
      </c>
      <c r="B245" s="111"/>
      <c r="C245" s="168" t="s">
        <v>347</v>
      </c>
      <c r="D245" s="169"/>
      <c r="E245" s="9">
        <v>36</v>
      </c>
      <c r="F245" s="7" t="s">
        <v>138</v>
      </c>
      <c r="G245" s="7" t="s">
        <v>138</v>
      </c>
      <c r="H245" s="7" t="s">
        <v>138</v>
      </c>
      <c r="I245" s="7" t="s">
        <v>138</v>
      </c>
    </row>
    <row r="246" spans="1:9">
      <c r="A246" s="9">
        <v>1</v>
      </c>
      <c r="B246" s="111"/>
      <c r="C246" s="168" t="s">
        <v>347</v>
      </c>
      <c r="D246" s="169"/>
      <c r="E246" s="9">
        <v>36</v>
      </c>
      <c r="F246" s="7" t="s">
        <v>138</v>
      </c>
      <c r="G246" s="7" t="s">
        <v>138</v>
      </c>
      <c r="H246" s="7" t="s">
        <v>138</v>
      </c>
      <c r="I246" s="7" t="s">
        <v>138</v>
      </c>
    </row>
    <row r="247" spans="1:9">
      <c r="A247" s="9">
        <v>1</v>
      </c>
      <c r="B247" s="111"/>
      <c r="C247" s="168" t="s">
        <v>347</v>
      </c>
      <c r="D247" s="169"/>
      <c r="E247" s="9">
        <v>36</v>
      </c>
      <c r="F247" s="7" t="s">
        <v>138</v>
      </c>
      <c r="G247" s="7" t="s">
        <v>138</v>
      </c>
      <c r="H247" s="7" t="s">
        <v>138</v>
      </c>
      <c r="I247" s="7" t="s">
        <v>138</v>
      </c>
    </row>
    <row r="248" spans="1:9">
      <c r="A248" s="9">
        <v>1</v>
      </c>
      <c r="B248" s="111"/>
      <c r="C248" s="168" t="s">
        <v>347</v>
      </c>
      <c r="D248" s="169"/>
      <c r="E248" s="9">
        <v>36</v>
      </c>
      <c r="F248" s="7" t="s">
        <v>138</v>
      </c>
      <c r="G248" s="7" t="s">
        <v>138</v>
      </c>
      <c r="H248" s="7" t="s">
        <v>138</v>
      </c>
      <c r="I248" s="7" t="s">
        <v>138</v>
      </c>
    </row>
    <row r="249" spans="1:9">
      <c r="A249" s="9">
        <v>1</v>
      </c>
      <c r="B249" s="111"/>
      <c r="C249" s="168" t="s">
        <v>347</v>
      </c>
      <c r="D249" s="169"/>
      <c r="E249" s="9">
        <v>36</v>
      </c>
      <c r="F249" s="7" t="s">
        <v>138</v>
      </c>
      <c r="G249" s="7" t="s">
        <v>138</v>
      </c>
      <c r="H249" s="7" t="s">
        <v>138</v>
      </c>
      <c r="I249" s="7" t="s">
        <v>138</v>
      </c>
    </row>
    <row r="250" spans="1:9">
      <c r="A250" s="9">
        <v>1</v>
      </c>
      <c r="B250" s="111"/>
      <c r="C250" s="168" t="s">
        <v>347</v>
      </c>
      <c r="D250" s="169"/>
      <c r="E250" s="9">
        <v>36</v>
      </c>
      <c r="F250" s="7" t="s">
        <v>138</v>
      </c>
      <c r="G250" s="7" t="s">
        <v>138</v>
      </c>
      <c r="H250" s="7" t="s">
        <v>138</v>
      </c>
      <c r="I250" s="7" t="s">
        <v>138</v>
      </c>
    </row>
    <row r="251" spans="1:9">
      <c r="A251" s="9">
        <v>1</v>
      </c>
      <c r="B251" s="111"/>
      <c r="C251" s="168" t="s">
        <v>347</v>
      </c>
      <c r="D251" s="169"/>
      <c r="E251" s="9">
        <v>36</v>
      </c>
      <c r="F251" s="7" t="s">
        <v>138</v>
      </c>
      <c r="G251" s="7" t="s">
        <v>138</v>
      </c>
      <c r="H251" s="7" t="s">
        <v>138</v>
      </c>
      <c r="I251" s="7" t="s">
        <v>138</v>
      </c>
    </row>
    <row r="252" spans="1:9">
      <c r="A252" s="9">
        <v>1</v>
      </c>
      <c r="B252" s="111"/>
      <c r="C252" s="168" t="s">
        <v>347</v>
      </c>
      <c r="D252" s="169"/>
      <c r="E252" s="9">
        <v>36</v>
      </c>
      <c r="F252" s="7" t="s">
        <v>138</v>
      </c>
      <c r="G252" s="7" t="s">
        <v>138</v>
      </c>
      <c r="H252" s="7" t="s">
        <v>138</v>
      </c>
      <c r="I252" s="7" t="s">
        <v>138</v>
      </c>
    </row>
    <row r="253" spans="1:9">
      <c r="A253" s="9">
        <v>1</v>
      </c>
      <c r="B253" s="111"/>
      <c r="C253" s="168" t="s">
        <v>347</v>
      </c>
      <c r="D253" s="169"/>
      <c r="E253" s="9">
        <v>36</v>
      </c>
      <c r="F253" s="7" t="s">
        <v>138</v>
      </c>
      <c r="G253" s="7" t="s">
        <v>138</v>
      </c>
      <c r="H253" s="7" t="s">
        <v>138</v>
      </c>
      <c r="I253" s="7" t="s">
        <v>138</v>
      </c>
    </row>
    <row r="254" spans="1:9">
      <c r="A254" s="9">
        <v>1</v>
      </c>
      <c r="B254" s="111"/>
      <c r="C254" s="168" t="s">
        <v>347</v>
      </c>
      <c r="D254" s="169"/>
      <c r="E254" s="9">
        <v>36</v>
      </c>
      <c r="F254" s="7" t="s">
        <v>138</v>
      </c>
      <c r="G254" s="7" t="s">
        <v>138</v>
      </c>
      <c r="H254" s="7" t="s">
        <v>138</v>
      </c>
      <c r="I254" s="7" t="s">
        <v>138</v>
      </c>
    </row>
    <row r="255" spans="1:9">
      <c r="A255" s="9">
        <v>1</v>
      </c>
      <c r="B255" s="111"/>
      <c r="C255" s="168" t="s">
        <v>347</v>
      </c>
      <c r="D255" s="169"/>
      <c r="E255" s="9">
        <v>36</v>
      </c>
      <c r="F255" s="7" t="s">
        <v>138</v>
      </c>
      <c r="G255" s="7" t="s">
        <v>138</v>
      </c>
      <c r="H255" s="7" t="s">
        <v>138</v>
      </c>
      <c r="I255" s="7" t="s">
        <v>138</v>
      </c>
    </row>
    <row r="256" spans="1:9">
      <c r="A256" s="9">
        <v>1</v>
      </c>
      <c r="B256" s="111"/>
      <c r="C256" s="168" t="s">
        <v>347</v>
      </c>
      <c r="D256" s="169"/>
      <c r="E256" s="9">
        <v>36</v>
      </c>
      <c r="F256" s="7" t="s">
        <v>138</v>
      </c>
      <c r="G256" s="7" t="s">
        <v>138</v>
      </c>
      <c r="H256" s="7" t="s">
        <v>138</v>
      </c>
      <c r="I256" s="7" t="s">
        <v>138</v>
      </c>
    </row>
    <row r="257" spans="1:9">
      <c r="A257" s="9">
        <v>1</v>
      </c>
      <c r="B257" s="111"/>
      <c r="C257" s="168" t="s">
        <v>347</v>
      </c>
      <c r="D257" s="169"/>
      <c r="E257" s="9">
        <v>36</v>
      </c>
      <c r="F257" s="7" t="s">
        <v>138</v>
      </c>
      <c r="G257" s="7" t="s">
        <v>138</v>
      </c>
      <c r="H257" s="7" t="s">
        <v>138</v>
      </c>
      <c r="I257" s="7" t="s">
        <v>138</v>
      </c>
    </row>
    <row r="258" spans="1:9">
      <c r="A258" s="9">
        <v>1</v>
      </c>
      <c r="B258" s="111"/>
      <c r="C258" s="168" t="s">
        <v>347</v>
      </c>
      <c r="D258" s="169"/>
      <c r="E258" s="9">
        <v>36</v>
      </c>
      <c r="F258" s="7" t="s">
        <v>138</v>
      </c>
      <c r="G258" s="7" t="s">
        <v>138</v>
      </c>
      <c r="H258" s="7" t="s">
        <v>138</v>
      </c>
      <c r="I258" s="7" t="s">
        <v>138</v>
      </c>
    </row>
    <row r="259" spans="1:9">
      <c r="A259" s="9">
        <v>1</v>
      </c>
      <c r="B259" s="111"/>
      <c r="C259" s="168" t="s">
        <v>347</v>
      </c>
      <c r="D259" s="169"/>
      <c r="E259" s="9">
        <v>36</v>
      </c>
      <c r="F259" s="7" t="s">
        <v>138</v>
      </c>
      <c r="G259" s="7" t="s">
        <v>138</v>
      </c>
      <c r="H259" s="7" t="s">
        <v>138</v>
      </c>
      <c r="I259" s="7" t="s">
        <v>138</v>
      </c>
    </row>
    <row r="260" spans="1:9">
      <c r="A260" s="9">
        <v>1</v>
      </c>
      <c r="B260" s="111"/>
      <c r="C260" s="168" t="s">
        <v>347</v>
      </c>
      <c r="D260" s="169"/>
      <c r="E260" s="9">
        <v>36</v>
      </c>
      <c r="F260" s="7" t="s">
        <v>138</v>
      </c>
      <c r="G260" s="7" t="s">
        <v>138</v>
      </c>
      <c r="H260" s="7" t="s">
        <v>138</v>
      </c>
      <c r="I260" s="7" t="s">
        <v>138</v>
      </c>
    </row>
    <row r="261" spans="1:9">
      <c r="A261" s="9">
        <v>1</v>
      </c>
      <c r="B261" s="111"/>
      <c r="C261" s="168" t="s">
        <v>347</v>
      </c>
      <c r="D261" s="169"/>
      <c r="E261" s="9">
        <v>36</v>
      </c>
      <c r="F261" s="7" t="s">
        <v>138</v>
      </c>
      <c r="G261" s="7" t="s">
        <v>138</v>
      </c>
      <c r="H261" s="7" t="s">
        <v>138</v>
      </c>
      <c r="I261" s="7" t="s">
        <v>138</v>
      </c>
    </row>
    <row r="262" spans="1:9">
      <c r="A262" s="9">
        <v>1</v>
      </c>
      <c r="B262" s="111"/>
      <c r="C262" s="168" t="s">
        <v>347</v>
      </c>
      <c r="D262" s="169"/>
      <c r="E262" s="9">
        <v>36</v>
      </c>
      <c r="F262" s="7" t="s">
        <v>138</v>
      </c>
      <c r="G262" s="7" t="s">
        <v>138</v>
      </c>
      <c r="H262" s="7" t="s">
        <v>138</v>
      </c>
      <c r="I262" s="7" t="s">
        <v>138</v>
      </c>
    </row>
    <row r="263" spans="1:9">
      <c r="A263" s="9">
        <v>1</v>
      </c>
      <c r="B263" s="111"/>
      <c r="C263" s="168" t="s">
        <v>347</v>
      </c>
      <c r="D263" s="169"/>
      <c r="E263" s="9">
        <v>36</v>
      </c>
      <c r="F263" s="7" t="s">
        <v>138</v>
      </c>
      <c r="G263" s="7" t="s">
        <v>138</v>
      </c>
      <c r="H263" s="7" t="s">
        <v>138</v>
      </c>
      <c r="I263" s="7" t="s">
        <v>138</v>
      </c>
    </row>
    <row r="264" spans="1:9">
      <c r="A264" s="9">
        <v>1</v>
      </c>
      <c r="B264" s="111"/>
      <c r="C264" s="168" t="s">
        <v>347</v>
      </c>
      <c r="D264" s="169"/>
      <c r="E264" s="9">
        <v>36</v>
      </c>
      <c r="F264" s="7" t="s">
        <v>138</v>
      </c>
      <c r="G264" s="7" t="s">
        <v>138</v>
      </c>
      <c r="H264" s="7" t="s">
        <v>138</v>
      </c>
      <c r="I264" s="7" t="s">
        <v>138</v>
      </c>
    </row>
    <row r="265" spans="1:9">
      <c r="A265" s="9">
        <v>1</v>
      </c>
      <c r="B265" s="111"/>
      <c r="C265" s="168" t="s">
        <v>347</v>
      </c>
      <c r="D265" s="169"/>
      <c r="E265" s="9">
        <v>36</v>
      </c>
      <c r="F265" s="7" t="s">
        <v>138</v>
      </c>
      <c r="G265" s="7" t="s">
        <v>138</v>
      </c>
      <c r="H265" s="7" t="s">
        <v>138</v>
      </c>
      <c r="I265" s="7" t="s">
        <v>138</v>
      </c>
    </row>
    <row r="266" spans="1:9">
      <c r="A266" s="9">
        <v>1</v>
      </c>
      <c r="B266" s="111"/>
      <c r="C266" s="168" t="s">
        <v>347</v>
      </c>
      <c r="D266" s="169"/>
      <c r="E266" s="9">
        <v>36</v>
      </c>
      <c r="F266" s="7" t="s">
        <v>138</v>
      </c>
      <c r="G266" s="7" t="s">
        <v>138</v>
      </c>
      <c r="H266" s="7" t="s">
        <v>138</v>
      </c>
      <c r="I266" s="7" t="s">
        <v>138</v>
      </c>
    </row>
    <row r="267" spans="1:9">
      <c r="A267" s="9">
        <v>1</v>
      </c>
      <c r="B267" s="111"/>
      <c r="C267" s="168" t="s">
        <v>347</v>
      </c>
      <c r="D267" s="169"/>
      <c r="E267" s="9">
        <v>36</v>
      </c>
      <c r="F267" s="7" t="s">
        <v>138</v>
      </c>
      <c r="G267" s="7" t="s">
        <v>138</v>
      </c>
      <c r="H267" s="7" t="s">
        <v>138</v>
      </c>
      <c r="I267" s="7" t="s">
        <v>138</v>
      </c>
    </row>
    <row r="268" spans="1:9">
      <c r="A268" s="9">
        <v>1</v>
      </c>
      <c r="B268" s="111"/>
      <c r="C268" s="168" t="s">
        <v>347</v>
      </c>
      <c r="D268" s="169"/>
      <c r="E268" s="9">
        <v>36</v>
      </c>
      <c r="F268" s="7" t="s">
        <v>138</v>
      </c>
      <c r="G268" s="7" t="s">
        <v>138</v>
      </c>
      <c r="H268" s="7" t="s">
        <v>138</v>
      </c>
      <c r="I268" s="7" t="s">
        <v>138</v>
      </c>
    </row>
    <row r="269" spans="1:9">
      <c r="A269" s="9">
        <v>1</v>
      </c>
      <c r="B269" s="111"/>
      <c r="C269" s="168" t="s">
        <v>347</v>
      </c>
      <c r="D269" s="169"/>
      <c r="E269" s="9">
        <v>36</v>
      </c>
      <c r="F269" s="7" t="s">
        <v>138</v>
      </c>
      <c r="G269" s="7" t="s">
        <v>138</v>
      </c>
      <c r="H269" s="7" t="s">
        <v>138</v>
      </c>
      <c r="I269" s="7" t="s">
        <v>138</v>
      </c>
    </row>
    <row r="270" spans="1:9">
      <c r="A270" s="9">
        <v>1</v>
      </c>
      <c r="B270" s="111"/>
      <c r="C270" s="168" t="s">
        <v>347</v>
      </c>
      <c r="D270" s="169"/>
      <c r="E270" s="9">
        <v>36</v>
      </c>
      <c r="F270" s="7" t="s">
        <v>138</v>
      </c>
      <c r="G270" s="7" t="s">
        <v>138</v>
      </c>
      <c r="H270" s="7" t="s">
        <v>138</v>
      </c>
      <c r="I270" s="7" t="s">
        <v>138</v>
      </c>
    </row>
    <row r="271" spans="1:9">
      <c r="A271" s="9">
        <v>1</v>
      </c>
      <c r="B271" s="111"/>
      <c r="C271" s="168" t="s">
        <v>347</v>
      </c>
      <c r="D271" s="169"/>
      <c r="E271" s="9">
        <v>36</v>
      </c>
      <c r="F271" s="7" t="s">
        <v>138</v>
      </c>
      <c r="G271" s="7" t="s">
        <v>138</v>
      </c>
      <c r="H271" s="7" t="s">
        <v>138</v>
      </c>
      <c r="I271" s="7" t="s">
        <v>138</v>
      </c>
    </row>
    <row r="272" spans="1:9">
      <c r="A272" s="9">
        <v>1</v>
      </c>
      <c r="B272" s="111"/>
      <c r="C272" s="168" t="s">
        <v>347</v>
      </c>
      <c r="D272" s="169"/>
      <c r="E272" s="9">
        <v>36</v>
      </c>
      <c r="F272" s="7" t="s">
        <v>138</v>
      </c>
      <c r="G272" s="7" t="s">
        <v>138</v>
      </c>
      <c r="H272" s="7" t="s">
        <v>138</v>
      </c>
      <c r="I272" s="7" t="s">
        <v>138</v>
      </c>
    </row>
    <row r="273" spans="1:9">
      <c r="A273" s="9">
        <v>1</v>
      </c>
      <c r="B273" s="111"/>
      <c r="C273" s="168" t="s">
        <v>347</v>
      </c>
      <c r="D273" s="169"/>
      <c r="E273" s="9">
        <v>36</v>
      </c>
      <c r="F273" s="7" t="s">
        <v>138</v>
      </c>
      <c r="G273" s="7" t="s">
        <v>138</v>
      </c>
      <c r="H273" s="7" t="s">
        <v>138</v>
      </c>
      <c r="I273" s="7" t="s">
        <v>138</v>
      </c>
    </row>
    <row r="274" spans="1:9">
      <c r="A274" s="9">
        <v>1</v>
      </c>
      <c r="B274" s="111"/>
      <c r="C274" s="168" t="s">
        <v>347</v>
      </c>
      <c r="D274" s="169"/>
      <c r="E274" s="9">
        <v>36</v>
      </c>
      <c r="F274" s="7" t="s">
        <v>138</v>
      </c>
      <c r="G274" s="7" t="s">
        <v>138</v>
      </c>
      <c r="H274" s="7" t="s">
        <v>138</v>
      </c>
      <c r="I274" s="7" t="s">
        <v>138</v>
      </c>
    </row>
    <row r="275" spans="1:9" ht="14.4" customHeight="1">
      <c r="A275" s="9">
        <v>2</v>
      </c>
      <c r="B275" s="111"/>
      <c r="C275" s="168" t="s">
        <v>348</v>
      </c>
      <c r="D275" s="169"/>
      <c r="E275" s="9">
        <v>36</v>
      </c>
      <c r="F275" s="7" t="s">
        <v>138</v>
      </c>
      <c r="G275" s="7" t="s">
        <v>138</v>
      </c>
      <c r="H275" s="7" t="s">
        <v>138</v>
      </c>
      <c r="I275" s="7" t="s">
        <v>138</v>
      </c>
    </row>
    <row r="276" spans="1:9" ht="14.4" customHeight="1">
      <c r="A276" s="9">
        <v>2</v>
      </c>
      <c r="B276" s="111"/>
      <c r="C276" s="168" t="s">
        <v>348</v>
      </c>
      <c r="D276" s="169"/>
      <c r="E276" s="9">
        <v>36</v>
      </c>
      <c r="F276" s="7" t="s">
        <v>138</v>
      </c>
      <c r="G276" s="7" t="s">
        <v>138</v>
      </c>
      <c r="H276" s="7" t="s">
        <v>138</v>
      </c>
      <c r="I276" s="7" t="s">
        <v>138</v>
      </c>
    </row>
    <row r="277" spans="1:9" ht="14.4" customHeight="1">
      <c r="A277" s="9">
        <v>2</v>
      </c>
      <c r="B277" s="111"/>
      <c r="C277" s="168" t="s">
        <v>348</v>
      </c>
      <c r="D277" s="169"/>
      <c r="E277" s="9">
        <v>36</v>
      </c>
      <c r="F277" s="7" t="s">
        <v>138</v>
      </c>
      <c r="G277" s="7" t="s">
        <v>138</v>
      </c>
      <c r="H277" s="7" t="s">
        <v>138</v>
      </c>
      <c r="I277" s="7" t="s">
        <v>138</v>
      </c>
    </row>
    <row r="278" spans="1:9" ht="14.4" customHeight="1">
      <c r="A278" s="9">
        <v>2</v>
      </c>
      <c r="B278" s="111"/>
      <c r="C278" s="168" t="s">
        <v>348</v>
      </c>
      <c r="D278" s="169"/>
      <c r="E278" s="9">
        <v>36</v>
      </c>
      <c r="F278" s="7" t="s">
        <v>138</v>
      </c>
      <c r="G278" s="7" t="s">
        <v>138</v>
      </c>
      <c r="H278" s="7" t="s">
        <v>138</v>
      </c>
      <c r="I278" s="7" t="s">
        <v>138</v>
      </c>
    </row>
    <row r="279" spans="1:9" ht="14.4" customHeight="1">
      <c r="A279" s="9">
        <v>2</v>
      </c>
      <c r="B279" s="111"/>
      <c r="C279" s="168" t="s">
        <v>348</v>
      </c>
      <c r="D279" s="169"/>
      <c r="E279" s="9">
        <v>36</v>
      </c>
      <c r="F279" s="7" t="s">
        <v>138</v>
      </c>
      <c r="G279" s="7" t="s">
        <v>138</v>
      </c>
      <c r="H279" s="7" t="s">
        <v>138</v>
      </c>
      <c r="I279" s="7" t="s">
        <v>138</v>
      </c>
    </row>
    <row r="280" spans="1:9" ht="14.4" customHeight="1">
      <c r="A280" s="9">
        <v>2</v>
      </c>
      <c r="B280" s="111"/>
      <c r="C280" s="168" t="s">
        <v>348</v>
      </c>
      <c r="D280" s="169"/>
      <c r="E280" s="9">
        <v>36</v>
      </c>
      <c r="F280" s="7" t="s">
        <v>138</v>
      </c>
      <c r="G280" s="7" t="s">
        <v>138</v>
      </c>
      <c r="H280" s="7" t="s">
        <v>138</v>
      </c>
      <c r="I280" s="7" t="s">
        <v>138</v>
      </c>
    </row>
    <row r="281" spans="1:9" ht="14.4" customHeight="1">
      <c r="A281" s="9">
        <v>2</v>
      </c>
      <c r="B281" s="111"/>
      <c r="C281" s="168" t="s">
        <v>348</v>
      </c>
      <c r="D281" s="169"/>
      <c r="E281" s="9">
        <v>36</v>
      </c>
      <c r="F281" s="7" t="s">
        <v>138</v>
      </c>
      <c r="G281" s="7" t="s">
        <v>138</v>
      </c>
      <c r="H281" s="7" t="s">
        <v>138</v>
      </c>
      <c r="I281" s="7" t="s">
        <v>138</v>
      </c>
    </row>
    <row r="282" spans="1:9" ht="14.4" customHeight="1">
      <c r="A282" s="9">
        <v>2</v>
      </c>
      <c r="B282" s="111"/>
      <c r="C282" s="168" t="s">
        <v>348</v>
      </c>
      <c r="D282" s="169"/>
      <c r="E282" s="9">
        <v>36</v>
      </c>
      <c r="F282" s="7" t="s">
        <v>138</v>
      </c>
      <c r="G282" s="7" t="s">
        <v>138</v>
      </c>
      <c r="H282" s="7" t="s">
        <v>138</v>
      </c>
      <c r="I282" s="7" t="s">
        <v>138</v>
      </c>
    </row>
    <row r="283" spans="1:9" ht="14.4" customHeight="1">
      <c r="A283" s="9">
        <v>2</v>
      </c>
      <c r="B283" s="111"/>
      <c r="C283" s="168" t="s">
        <v>348</v>
      </c>
      <c r="D283" s="169"/>
      <c r="E283" s="9">
        <v>36</v>
      </c>
      <c r="F283" s="7" t="s">
        <v>138</v>
      </c>
      <c r="G283" s="7" t="s">
        <v>138</v>
      </c>
      <c r="H283" s="7" t="s">
        <v>138</v>
      </c>
      <c r="I283" s="7" t="s">
        <v>138</v>
      </c>
    </row>
    <row r="284" spans="1:9" ht="14.4" customHeight="1">
      <c r="A284" s="9">
        <v>2</v>
      </c>
      <c r="B284" s="111"/>
      <c r="C284" s="168" t="s">
        <v>348</v>
      </c>
      <c r="D284" s="169"/>
      <c r="E284" s="9">
        <v>36</v>
      </c>
      <c r="F284" s="7" t="s">
        <v>138</v>
      </c>
      <c r="G284" s="7" t="s">
        <v>138</v>
      </c>
      <c r="H284" s="7" t="s">
        <v>138</v>
      </c>
      <c r="I284" s="7" t="s">
        <v>138</v>
      </c>
    </row>
    <row r="285" spans="1:9" ht="14.4" customHeight="1">
      <c r="A285" s="9">
        <v>2</v>
      </c>
      <c r="B285" s="111"/>
      <c r="C285" s="168" t="s">
        <v>348</v>
      </c>
      <c r="D285" s="169"/>
      <c r="E285" s="9">
        <v>36</v>
      </c>
      <c r="F285" s="7" t="s">
        <v>138</v>
      </c>
      <c r="G285" s="7" t="s">
        <v>138</v>
      </c>
      <c r="H285" s="7" t="s">
        <v>138</v>
      </c>
      <c r="I285" s="7" t="s">
        <v>138</v>
      </c>
    </row>
    <row r="286" spans="1:9" ht="14.4" customHeight="1">
      <c r="A286" s="9">
        <v>2</v>
      </c>
      <c r="B286" s="111"/>
      <c r="C286" s="168" t="s">
        <v>348</v>
      </c>
      <c r="D286" s="169"/>
      <c r="E286" s="9">
        <v>36</v>
      </c>
      <c r="F286" s="7" t="s">
        <v>138</v>
      </c>
      <c r="G286" s="7" t="s">
        <v>138</v>
      </c>
      <c r="H286" s="7" t="s">
        <v>138</v>
      </c>
      <c r="I286" s="7" t="s">
        <v>138</v>
      </c>
    </row>
    <row r="287" spans="1:9" ht="14.4" customHeight="1">
      <c r="A287" s="9">
        <v>2</v>
      </c>
      <c r="B287" s="111"/>
      <c r="C287" s="168" t="s">
        <v>348</v>
      </c>
      <c r="D287" s="169"/>
      <c r="E287" s="9">
        <v>36</v>
      </c>
      <c r="F287" s="7" t="s">
        <v>138</v>
      </c>
      <c r="G287" s="7" t="s">
        <v>138</v>
      </c>
      <c r="H287" s="7" t="s">
        <v>138</v>
      </c>
      <c r="I287" s="7" t="s">
        <v>138</v>
      </c>
    </row>
    <row r="288" spans="1:9" ht="14.4" customHeight="1">
      <c r="A288" s="9">
        <v>2</v>
      </c>
      <c r="B288" s="111"/>
      <c r="C288" s="168" t="s">
        <v>348</v>
      </c>
      <c r="D288" s="169"/>
      <c r="E288" s="9">
        <v>36</v>
      </c>
      <c r="F288" s="7" t="s">
        <v>138</v>
      </c>
      <c r="G288" s="7" t="s">
        <v>138</v>
      </c>
      <c r="H288" s="7" t="s">
        <v>138</v>
      </c>
      <c r="I288" s="7" t="s">
        <v>138</v>
      </c>
    </row>
    <row r="289" spans="1:9" ht="14.4" customHeight="1">
      <c r="A289" s="9">
        <v>2</v>
      </c>
      <c r="B289" s="111"/>
      <c r="C289" s="168" t="s">
        <v>348</v>
      </c>
      <c r="D289" s="169"/>
      <c r="E289" s="9">
        <v>36</v>
      </c>
      <c r="F289" s="7" t="s">
        <v>138</v>
      </c>
      <c r="G289" s="7" t="s">
        <v>138</v>
      </c>
      <c r="H289" s="7" t="s">
        <v>138</v>
      </c>
      <c r="I289" s="7" t="s">
        <v>138</v>
      </c>
    </row>
    <row r="290" spans="1:9" ht="14.4" customHeight="1">
      <c r="A290" s="9">
        <v>2</v>
      </c>
      <c r="B290" s="111"/>
      <c r="C290" s="168" t="s">
        <v>348</v>
      </c>
      <c r="D290" s="169"/>
      <c r="E290" s="9">
        <v>36</v>
      </c>
      <c r="F290" s="7" t="s">
        <v>138</v>
      </c>
      <c r="G290" s="7" t="s">
        <v>138</v>
      </c>
      <c r="H290" s="7" t="s">
        <v>138</v>
      </c>
      <c r="I290" s="7" t="s">
        <v>138</v>
      </c>
    </row>
    <row r="291" spans="1:9" ht="14.4" customHeight="1">
      <c r="A291" s="9">
        <v>2</v>
      </c>
      <c r="B291" s="111"/>
      <c r="C291" s="168" t="s">
        <v>348</v>
      </c>
      <c r="D291" s="169"/>
      <c r="E291" s="9">
        <v>36</v>
      </c>
      <c r="F291" s="7" t="s">
        <v>138</v>
      </c>
      <c r="G291" s="7" t="s">
        <v>138</v>
      </c>
      <c r="H291" s="7" t="s">
        <v>138</v>
      </c>
      <c r="I291" s="7" t="s">
        <v>138</v>
      </c>
    </row>
    <row r="292" spans="1:9" ht="14.4" customHeight="1">
      <c r="A292" s="9">
        <v>2</v>
      </c>
      <c r="B292" s="111"/>
      <c r="C292" s="168" t="s">
        <v>348</v>
      </c>
      <c r="D292" s="169"/>
      <c r="E292" s="9">
        <v>36</v>
      </c>
      <c r="F292" s="7" t="s">
        <v>138</v>
      </c>
      <c r="G292" s="7" t="s">
        <v>138</v>
      </c>
      <c r="H292" s="7" t="s">
        <v>138</v>
      </c>
      <c r="I292" s="7" t="s">
        <v>138</v>
      </c>
    </row>
    <row r="293" spans="1:9" ht="14.4" customHeight="1">
      <c r="A293" s="9">
        <v>2</v>
      </c>
      <c r="B293" s="111"/>
      <c r="C293" s="168" t="s">
        <v>348</v>
      </c>
      <c r="D293" s="169"/>
      <c r="E293" s="9">
        <v>36</v>
      </c>
      <c r="F293" s="7" t="s">
        <v>138</v>
      </c>
      <c r="G293" s="7" t="s">
        <v>138</v>
      </c>
      <c r="H293" s="7" t="s">
        <v>138</v>
      </c>
      <c r="I293" s="7" t="s">
        <v>138</v>
      </c>
    </row>
    <row r="294" spans="1:9" ht="14.4" customHeight="1">
      <c r="A294" s="9">
        <v>2</v>
      </c>
      <c r="B294" s="111"/>
      <c r="C294" s="168" t="s">
        <v>348</v>
      </c>
      <c r="D294" s="169"/>
      <c r="E294" s="9">
        <v>36</v>
      </c>
      <c r="F294" s="7" t="s">
        <v>138</v>
      </c>
      <c r="G294" s="7" t="s">
        <v>138</v>
      </c>
      <c r="H294" s="7" t="s">
        <v>138</v>
      </c>
      <c r="I294" s="7" t="s">
        <v>138</v>
      </c>
    </row>
    <row r="295" spans="1:9" ht="14.4" customHeight="1">
      <c r="A295" s="9">
        <v>2</v>
      </c>
      <c r="B295" s="111"/>
      <c r="C295" s="168" t="s">
        <v>348</v>
      </c>
      <c r="D295" s="169"/>
      <c r="E295" s="9">
        <v>36</v>
      </c>
      <c r="F295" s="7" t="s">
        <v>138</v>
      </c>
      <c r="G295" s="7" t="s">
        <v>138</v>
      </c>
      <c r="H295" s="7" t="s">
        <v>138</v>
      </c>
      <c r="I295" s="7" t="s">
        <v>138</v>
      </c>
    </row>
    <row r="296" spans="1:9" ht="14.4" customHeight="1">
      <c r="A296" s="9">
        <v>2</v>
      </c>
      <c r="B296" s="111"/>
      <c r="C296" s="168" t="s">
        <v>348</v>
      </c>
      <c r="D296" s="169"/>
      <c r="E296" s="9">
        <v>36</v>
      </c>
      <c r="F296" s="7" t="s">
        <v>138</v>
      </c>
      <c r="G296" s="7" t="s">
        <v>138</v>
      </c>
      <c r="H296" s="7" t="s">
        <v>138</v>
      </c>
      <c r="I296" s="7" t="s">
        <v>138</v>
      </c>
    </row>
    <row r="297" spans="1:9" ht="14.4" customHeight="1">
      <c r="A297" s="9">
        <v>2</v>
      </c>
      <c r="B297" s="111"/>
      <c r="C297" s="168" t="s">
        <v>348</v>
      </c>
      <c r="D297" s="169"/>
      <c r="E297" s="9">
        <v>36</v>
      </c>
      <c r="F297" s="7" t="s">
        <v>138</v>
      </c>
      <c r="G297" s="7" t="s">
        <v>138</v>
      </c>
      <c r="H297" s="7" t="s">
        <v>138</v>
      </c>
      <c r="I297" s="7" t="s">
        <v>138</v>
      </c>
    </row>
    <row r="298" spans="1:9" ht="14.4" customHeight="1">
      <c r="A298" s="9">
        <v>2</v>
      </c>
      <c r="B298" s="111"/>
      <c r="C298" s="168" t="s">
        <v>348</v>
      </c>
      <c r="D298" s="169"/>
      <c r="E298" s="9">
        <v>36</v>
      </c>
      <c r="F298" s="7" t="s">
        <v>138</v>
      </c>
      <c r="G298" s="7" t="s">
        <v>138</v>
      </c>
      <c r="H298" s="7" t="s">
        <v>138</v>
      </c>
      <c r="I298" s="7" t="s">
        <v>138</v>
      </c>
    </row>
    <row r="299" spans="1:9" ht="14.4" customHeight="1">
      <c r="A299" s="9">
        <v>2</v>
      </c>
      <c r="B299" s="111"/>
      <c r="C299" s="168" t="s">
        <v>348</v>
      </c>
      <c r="D299" s="169"/>
      <c r="E299" s="9">
        <v>36</v>
      </c>
      <c r="F299" s="7" t="s">
        <v>138</v>
      </c>
      <c r="G299" s="7" t="s">
        <v>138</v>
      </c>
      <c r="H299" s="7" t="s">
        <v>138</v>
      </c>
      <c r="I299" s="7" t="s">
        <v>138</v>
      </c>
    </row>
    <row r="300" spans="1:9" ht="14.4" customHeight="1">
      <c r="A300" s="9">
        <v>2</v>
      </c>
      <c r="B300" s="111"/>
      <c r="C300" s="168" t="s">
        <v>348</v>
      </c>
      <c r="D300" s="169"/>
      <c r="E300" s="9">
        <v>36</v>
      </c>
      <c r="F300" s="7" t="s">
        <v>138</v>
      </c>
      <c r="G300" s="7" t="s">
        <v>138</v>
      </c>
      <c r="H300" s="7" t="s">
        <v>138</v>
      </c>
      <c r="I300" s="7" t="s">
        <v>138</v>
      </c>
    </row>
    <row r="301" spans="1:9" ht="14.4" customHeight="1">
      <c r="A301" s="9">
        <v>2</v>
      </c>
      <c r="B301" s="111"/>
      <c r="C301" s="168" t="s">
        <v>348</v>
      </c>
      <c r="D301" s="169"/>
      <c r="E301" s="9">
        <v>36</v>
      </c>
      <c r="F301" s="7" t="s">
        <v>138</v>
      </c>
      <c r="G301" s="7" t="s">
        <v>138</v>
      </c>
      <c r="H301" s="7" t="s">
        <v>138</v>
      </c>
      <c r="I301" s="7" t="s">
        <v>138</v>
      </c>
    </row>
    <row r="302" spans="1:9" ht="14.4" customHeight="1">
      <c r="A302" s="9">
        <v>2</v>
      </c>
      <c r="B302" s="111"/>
      <c r="C302" s="168" t="s">
        <v>348</v>
      </c>
      <c r="D302" s="169"/>
      <c r="E302" s="9">
        <v>36</v>
      </c>
      <c r="F302" s="7" t="s">
        <v>138</v>
      </c>
      <c r="G302" s="7" t="s">
        <v>138</v>
      </c>
      <c r="H302" s="7" t="s">
        <v>138</v>
      </c>
      <c r="I302" s="7" t="s">
        <v>138</v>
      </c>
    </row>
    <row r="303" spans="1:9" ht="14.4" customHeight="1">
      <c r="A303" s="9">
        <v>2</v>
      </c>
      <c r="B303" s="111"/>
      <c r="C303" s="168" t="s">
        <v>348</v>
      </c>
      <c r="D303" s="169"/>
      <c r="E303" s="9">
        <v>36</v>
      </c>
      <c r="F303" s="7" t="s">
        <v>138</v>
      </c>
      <c r="G303" s="7" t="s">
        <v>138</v>
      </c>
      <c r="H303" s="7" t="s">
        <v>138</v>
      </c>
      <c r="I303" s="7" t="s">
        <v>138</v>
      </c>
    </row>
    <row r="304" spans="1:9" ht="14.4" customHeight="1">
      <c r="A304" s="9">
        <v>2</v>
      </c>
      <c r="B304" s="111"/>
      <c r="C304" s="168" t="s">
        <v>348</v>
      </c>
      <c r="D304" s="169"/>
      <c r="E304" s="9">
        <v>36</v>
      </c>
      <c r="F304" s="7" t="s">
        <v>138</v>
      </c>
      <c r="G304" s="7" t="s">
        <v>138</v>
      </c>
      <c r="H304" s="7" t="s">
        <v>138</v>
      </c>
      <c r="I304" s="7" t="s">
        <v>138</v>
      </c>
    </row>
    <row r="305" spans="1:9" ht="14.4" customHeight="1">
      <c r="A305" s="9">
        <v>2</v>
      </c>
      <c r="B305" s="111"/>
      <c r="C305" s="168" t="s">
        <v>348</v>
      </c>
      <c r="D305" s="169"/>
      <c r="E305" s="9">
        <v>36</v>
      </c>
      <c r="F305" s="7" t="s">
        <v>138</v>
      </c>
      <c r="G305" s="7" t="s">
        <v>138</v>
      </c>
      <c r="H305" s="7" t="s">
        <v>138</v>
      </c>
      <c r="I305" s="7" t="s">
        <v>138</v>
      </c>
    </row>
    <row r="306" spans="1:9" ht="14.4" customHeight="1">
      <c r="A306" s="9">
        <v>2</v>
      </c>
      <c r="B306" s="111"/>
      <c r="C306" s="168" t="s">
        <v>348</v>
      </c>
      <c r="D306" s="169"/>
      <c r="E306" s="9">
        <v>36</v>
      </c>
      <c r="F306" s="7" t="s">
        <v>138</v>
      </c>
      <c r="G306" s="7" t="s">
        <v>138</v>
      </c>
      <c r="H306" s="7" t="s">
        <v>138</v>
      </c>
      <c r="I306" s="7" t="s">
        <v>138</v>
      </c>
    </row>
    <row r="307" spans="1:9" ht="14.4" customHeight="1">
      <c r="A307" s="9">
        <v>2</v>
      </c>
      <c r="B307" s="111"/>
      <c r="C307" s="168" t="s">
        <v>348</v>
      </c>
      <c r="D307" s="169"/>
      <c r="E307" s="9">
        <v>36</v>
      </c>
      <c r="F307" s="7" t="s">
        <v>138</v>
      </c>
      <c r="G307" s="7" t="s">
        <v>138</v>
      </c>
      <c r="H307" s="7" t="s">
        <v>138</v>
      </c>
      <c r="I307" s="7" t="s">
        <v>138</v>
      </c>
    </row>
    <row r="308" spans="1:9" ht="14.4" customHeight="1">
      <c r="A308" s="9">
        <v>2</v>
      </c>
      <c r="B308" s="111"/>
      <c r="C308" s="168" t="s">
        <v>348</v>
      </c>
      <c r="D308" s="169"/>
      <c r="E308" s="9">
        <v>36</v>
      </c>
      <c r="F308" s="7" t="s">
        <v>138</v>
      </c>
      <c r="G308" s="7" t="s">
        <v>138</v>
      </c>
      <c r="H308" s="7" t="s">
        <v>138</v>
      </c>
      <c r="I308" s="7" t="s">
        <v>138</v>
      </c>
    </row>
    <row r="309" spans="1:9" ht="14.4" customHeight="1">
      <c r="A309" s="9">
        <v>2</v>
      </c>
      <c r="B309" s="111"/>
      <c r="C309" s="168" t="s">
        <v>348</v>
      </c>
      <c r="D309" s="169"/>
      <c r="E309" s="9">
        <v>36</v>
      </c>
      <c r="F309" s="7" t="s">
        <v>138</v>
      </c>
      <c r="G309" s="7" t="s">
        <v>138</v>
      </c>
      <c r="H309" s="7" t="s">
        <v>138</v>
      </c>
      <c r="I309" s="7" t="s">
        <v>138</v>
      </c>
    </row>
    <row r="310" spans="1:9" ht="14.4" customHeight="1">
      <c r="A310" s="9">
        <v>2</v>
      </c>
      <c r="B310" s="111"/>
      <c r="C310" s="168" t="s">
        <v>348</v>
      </c>
      <c r="D310" s="169"/>
      <c r="E310" s="9">
        <v>36</v>
      </c>
      <c r="F310" s="7" t="s">
        <v>138</v>
      </c>
      <c r="G310" s="7" t="s">
        <v>138</v>
      </c>
      <c r="H310" s="7" t="s">
        <v>138</v>
      </c>
      <c r="I310" s="7" t="s">
        <v>138</v>
      </c>
    </row>
    <row r="311" spans="1:9" ht="14.4" customHeight="1">
      <c r="A311" s="9">
        <v>3</v>
      </c>
      <c r="B311" s="111"/>
      <c r="C311" s="168" t="s">
        <v>349</v>
      </c>
      <c r="D311" s="169"/>
      <c r="E311" s="9">
        <v>36</v>
      </c>
      <c r="F311" s="7" t="s">
        <v>147</v>
      </c>
      <c r="G311" s="7" t="s">
        <v>147</v>
      </c>
      <c r="H311" s="7" t="s">
        <v>147</v>
      </c>
      <c r="I311" s="7" t="s">
        <v>147</v>
      </c>
    </row>
    <row r="312" spans="1:9" ht="14.4" customHeight="1">
      <c r="A312" s="9">
        <v>3</v>
      </c>
      <c r="B312" s="111"/>
      <c r="C312" s="168" t="s">
        <v>349</v>
      </c>
      <c r="D312" s="169"/>
      <c r="E312" s="9">
        <v>36</v>
      </c>
      <c r="F312" s="7" t="s">
        <v>147</v>
      </c>
      <c r="G312" s="7" t="s">
        <v>147</v>
      </c>
      <c r="H312" s="7" t="s">
        <v>147</v>
      </c>
      <c r="I312" s="7" t="s">
        <v>147</v>
      </c>
    </row>
    <row r="313" spans="1:9" ht="14.4" customHeight="1">
      <c r="A313" s="9">
        <v>3</v>
      </c>
      <c r="B313" s="111"/>
      <c r="C313" s="168" t="s">
        <v>349</v>
      </c>
      <c r="D313" s="169"/>
      <c r="E313" s="9">
        <v>36</v>
      </c>
      <c r="F313" s="7" t="s">
        <v>147</v>
      </c>
      <c r="G313" s="7" t="s">
        <v>147</v>
      </c>
      <c r="H313" s="7" t="s">
        <v>147</v>
      </c>
      <c r="I313" s="7" t="s">
        <v>147</v>
      </c>
    </row>
    <row r="314" spans="1:9" ht="14.4" customHeight="1">
      <c r="A314" s="9">
        <v>3</v>
      </c>
      <c r="B314" s="111"/>
      <c r="C314" s="168" t="s">
        <v>349</v>
      </c>
      <c r="D314" s="169"/>
      <c r="E314" s="9">
        <v>36</v>
      </c>
      <c r="F314" s="7" t="s">
        <v>147</v>
      </c>
      <c r="G314" s="7" t="s">
        <v>147</v>
      </c>
      <c r="H314" s="7" t="s">
        <v>147</v>
      </c>
      <c r="I314" s="7" t="s">
        <v>147</v>
      </c>
    </row>
    <row r="315" spans="1:9" ht="14.4" customHeight="1">
      <c r="A315" s="9">
        <v>3</v>
      </c>
      <c r="B315" s="111"/>
      <c r="C315" s="168" t="s">
        <v>349</v>
      </c>
      <c r="D315" s="169"/>
      <c r="E315" s="9">
        <v>36</v>
      </c>
      <c r="F315" s="7" t="s">
        <v>147</v>
      </c>
      <c r="G315" s="7" t="s">
        <v>147</v>
      </c>
      <c r="H315" s="7" t="s">
        <v>147</v>
      </c>
      <c r="I315" s="7" t="s">
        <v>147</v>
      </c>
    </row>
    <row r="316" spans="1:9" ht="14.4" customHeight="1">
      <c r="A316" s="9">
        <v>3</v>
      </c>
      <c r="B316" s="111"/>
      <c r="C316" s="168" t="s">
        <v>349</v>
      </c>
      <c r="D316" s="169"/>
      <c r="E316" s="9">
        <v>36</v>
      </c>
      <c r="F316" s="7" t="s">
        <v>147</v>
      </c>
      <c r="G316" s="7" t="s">
        <v>147</v>
      </c>
      <c r="H316" s="7" t="s">
        <v>147</v>
      </c>
      <c r="I316" s="7" t="s">
        <v>147</v>
      </c>
    </row>
    <row r="317" spans="1:9" ht="14.4" customHeight="1">
      <c r="A317" s="9">
        <v>3</v>
      </c>
      <c r="B317" s="111"/>
      <c r="C317" s="168" t="s">
        <v>349</v>
      </c>
      <c r="D317" s="169"/>
      <c r="E317" s="9">
        <v>36</v>
      </c>
      <c r="F317" s="7" t="s">
        <v>147</v>
      </c>
      <c r="G317" s="7" t="s">
        <v>147</v>
      </c>
      <c r="H317" s="7" t="s">
        <v>147</v>
      </c>
      <c r="I317" s="7" t="s">
        <v>147</v>
      </c>
    </row>
    <row r="318" spans="1:9" ht="14.4" customHeight="1">
      <c r="A318" s="9">
        <v>3</v>
      </c>
      <c r="B318" s="111"/>
      <c r="C318" s="168" t="s">
        <v>349</v>
      </c>
      <c r="D318" s="169"/>
      <c r="E318" s="9">
        <v>36</v>
      </c>
      <c r="F318" s="7" t="s">
        <v>147</v>
      </c>
      <c r="G318" s="7" t="s">
        <v>147</v>
      </c>
      <c r="H318" s="7" t="s">
        <v>147</v>
      </c>
      <c r="I318" s="7" t="s">
        <v>147</v>
      </c>
    </row>
    <row r="319" spans="1:9" ht="14.4" customHeight="1">
      <c r="A319" s="9">
        <v>3</v>
      </c>
      <c r="B319" s="111"/>
      <c r="C319" s="168" t="s">
        <v>349</v>
      </c>
      <c r="D319" s="169"/>
      <c r="E319" s="9">
        <v>36</v>
      </c>
      <c r="F319" s="7" t="s">
        <v>147</v>
      </c>
      <c r="G319" s="7" t="s">
        <v>147</v>
      </c>
      <c r="H319" s="7" t="s">
        <v>147</v>
      </c>
      <c r="I319" s="7" t="s">
        <v>147</v>
      </c>
    </row>
    <row r="320" spans="1:9" ht="14.4" customHeight="1">
      <c r="A320" s="9">
        <v>3</v>
      </c>
      <c r="B320" s="111"/>
      <c r="C320" s="168" t="s">
        <v>349</v>
      </c>
      <c r="D320" s="169"/>
      <c r="E320" s="9">
        <v>36</v>
      </c>
      <c r="F320" s="7" t="s">
        <v>147</v>
      </c>
      <c r="G320" s="7" t="s">
        <v>147</v>
      </c>
      <c r="H320" s="7" t="s">
        <v>147</v>
      </c>
      <c r="I320" s="7" t="s">
        <v>147</v>
      </c>
    </row>
    <row r="321" spans="1:9" ht="14.4" customHeight="1">
      <c r="A321" s="9">
        <v>3</v>
      </c>
      <c r="B321" s="111"/>
      <c r="C321" s="168" t="s">
        <v>349</v>
      </c>
      <c r="D321" s="169"/>
      <c r="E321" s="9">
        <v>36</v>
      </c>
      <c r="F321" s="7" t="s">
        <v>147</v>
      </c>
      <c r="G321" s="7" t="s">
        <v>147</v>
      </c>
      <c r="H321" s="7" t="s">
        <v>147</v>
      </c>
      <c r="I321" s="7" t="s">
        <v>147</v>
      </c>
    </row>
    <row r="322" spans="1:9" ht="14.4" customHeight="1">
      <c r="A322" s="9">
        <v>3</v>
      </c>
      <c r="B322" s="111"/>
      <c r="C322" s="168" t="s">
        <v>349</v>
      </c>
      <c r="D322" s="169"/>
      <c r="E322" s="9">
        <v>36</v>
      </c>
      <c r="F322" s="7" t="s">
        <v>147</v>
      </c>
      <c r="G322" s="7" t="s">
        <v>147</v>
      </c>
      <c r="H322" s="7" t="s">
        <v>147</v>
      </c>
      <c r="I322" s="7" t="s">
        <v>147</v>
      </c>
    </row>
    <row r="323" spans="1:9" ht="14.4" customHeight="1">
      <c r="A323" s="9">
        <v>3</v>
      </c>
      <c r="B323" s="111"/>
      <c r="C323" s="168" t="s">
        <v>349</v>
      </c>
      <c r="D323" s="169"/>
      <c r="E323" s="9">
        <v>36</v>
      </c>
      <c r="F323" s="7" t="s">
        <v>147</v>
      </c>
      <c r="G323" s="7" t="s">
        <v>147</v>
      </c>
      <c r="H323" s="7" t="s">
        <v>147</v>
      </c>
      <c r="I323" s="7" t="s">
        <v>147</v>
      </c>
    </row>
    <row r="324" spans="1:9" ht="14.4" customHeight="1">
      <c r="A324" s="9">
        <v>3</v>
      </c>
      <c r="B324" s="111"/>
      <c r="C324" s="168" t="s">
        <v>349</v>
      </c>
      <c r="D324" s="169"/>
      <c r="E324" s="9">
        <v>36</v>
      </c>
      <c r="F324" s="7" t="s">
        <v>147</v>
      </c>
      <c r="G324" s="7" t="s">
        <v>147</v>
      </c>
      <c r="H324" s="7" t="s">
        <v>147</v>
      </c>
      <c r="I324" s="7" t="s">
        <v>147</v>
      </c>
    </row>
    <row r="325" spans="1:9" ht="14.4" customHeight="1">
      <c r="A325" s="9">
        <v>3</v>
      </c>
      <c r="B325" s="111"/>
      <c r="C325" s="168" t="s">
        <v>349</v>
      </c>
      <c r="D325" s="169"/>
      <c r="E325" s="9">
        <v>36</v>
      </c>
      <c r="F325" s="7" t="s">
        <v>147</v>
      </c>
      <c r="G325" s="7" t="s">
        <v>147</v>
      </c>
      <c r="H325" s="7" t="s">
        <v>147</v>
      </c>
      <c r="I325" s="7" t="s">
        <v>147</v>
      </c>
    </row>
    <row r="326" spans="1:9" ht="14.4" customHeight="1">
      <c r="A326" s="9">
        <v>3</v>
      </c>
      <c r="B326" s="111"/>
      <c r="C326" s="168" t="s">
        <v>349</v>
      </c>
      <c r="D326" s="169"/>
      <c r="E326" s="9">
        <v>36</v>
      </c>
      <c r="F326" s="7" t="s">
        <v>147</v>
      </c>
      <c r="G326" s="7" t="s">
        <v>147</v>
      </c>
      <c r="H326" s="7" t="s">
        <v>147</v>
      </c>
      <c r="I326" s="7" t="s">
        <v>147</v>
      </c>
    </row>
    <row r="327" spans="1:9" ht="14.4" customHeight="1">
      <c r="A327" s="9">
        <v>3</v>
      </c>
      <c r="B327" s="111"/>
      <c r="C327" s="168" t="s">
        <v>349</v>
      </c>
      <c r="D327" s="169"/>
      <c r="E327" s="9">
        <v>36</v>
      </c>
      <c r="F327" s="7" t="s">
        <v>147</v>
      </c>
      <c r="G327" s="7" t="s">
        <v>147</v>
      </c>
      <c r="H327" s="7" t="s">
        <v>147</v>
      </c>
      <c r="I327" s="7" t="s">
        <v>147</v>
      </c>
    </row>
    <row r="328" spans="1:9" ht="14.4" customHeight="1">
      <c r="A328" s="9">
        <v>3</v>
      </c>
      <c r="B328" s="111"/>
      <c r="C328" s="168" t="s">
        <v>349</v>
      </c>
      <c r="D328" s="169"/>
      <c r="E328" s="9">
        <v>36</v>
      </c>
      <c r="F328" s="7" t="s">
        <v>147</v>
      </c>
      <c r="G328" s="7" t="s">
        <v>147</v>
      </c>
      <c r="H328" s="7" t="s">
        <v>147</v>
      </c>
      <c r="I328" s="7" t="s">
        <v>147</v>
      </c>
    </row>
    <row r="329" spans="1:9" ht="14.4" customHeight="1">
      <c r="A329" s="9">
        <v>3</v>
      </c>
      <c r="B329" s="111"/>
      <c r="C329" s="168" t="s">
        <v>349</v>
      </c>
      <c r="D329" s="169"/>
      <c r="E329" s="9">
        <v>36</v>
      </c>
      <c r="F329" s="7" t="s">
        <v>147</v>
      </c>
      <c r="G329" s="7" t="s">
        <v>147</v>
      </c>
      <c r="H329" s="7" t="s">
        <v>147</v>
      </c>
      <c r="I329" s="7" t="s">
        <v>147</v>
      </c>
    </row>
    <row r="330" spans="1:9" ht="14.4" customHeight="1">
      <c r="A330" s="9">
        <v>3</v>
      </c>
      <c r="B330" s="111"/>
      <c r="C330" s="168" t="s">
        <v>349</v>
      </c>
      <c r="D330" s="169"/>
      <c r="E330" s="9">
        <v>36</v>
      </c>
      <c r="F330" s="7" t="s">
        <v>147</v>
      </c>
      <c r="G330" s="7" t="s">
        <v>147</v>
      </c>
      <c r="H330" s="7" t="s">
        <v>147</v>
      </c>
      <c r="I330" s="7" t="s">
        <v>147</v>
      </c>
    </row>
    <row r="331" spans="1:9" ht="14.4" customHeight="1">
      <c r="A331" s="9">
        <v>3</v>
      </c>
      <c r="B331" s="111"/>
      <c r="C331" s="168" t="s">
        <v>349</v>
      </c>
      <c r="D331" s="169"/>
      <c r="E331" s="9">
        <v>36</v>
      </c>
      <c r="F331" s="7" t="s">
        <v>147</v>
      </c>
      <c r="G331" s="7" t="s">
        <v>147</v>
      </c>
      <c r="H331" s="7" t="s">
        <v>147</v>
      </c>
      <c r="I331" s="7" t="s">
        <v>147</v>
      </c>
    </row>
    <row r="332" spans="1:9" ht="14.4" customHeight="1">
      <c r="A332" s="9">
        <v>3</v>
      </c>
      <c r="B332" s="111"/>
      <c r="C332" s="168" t="s">
        <v>349</v>
      </c>
      <c r="D332" s="169"/>
      <c r="E332" s="9">
        <v>36</v>
      </c>
      <c r="F332" s="7" t="s">
        <v>147</v>
      </c>
      <c r="G332" s="7" t="s">
        <v>147</v>
      </c>
      <c r="H332" s="7" t="s">
        <v>147</v>
      </c>
      <c r="I332" s="7" t="s">
        <v>147</v>
      </c>
    </row>
    <row r="333" spans="1:9" ht="14.4" customHeight="1">
      <c r="A333" s="9">
        <v>3</v>
      </c>
      <c r="B333" s="111"/>
      <c r="C333" s="168" t="s">
        <v>349</v>
      </c>
      <c r="D333" s="169"/>
      <c r="E333" s="9">
        <v>36</v>
      </c>
      <c r="F333" s="7" t="s">
        <v>147</v>
      </c>
      <c r="G333" s="7" t="s">
        <v>147</v>
      </c>
      <c r="H333" s="7" t="s">
        <v>147</v>
      </c>
      <c r="I333" s="7" t="s">
        <v>147</v>
      </c>
    </row>
    <row r="334" spans="1:9" ht="14.4" customHeight="1">
      <c r="A334" s="9">
        <v>3</v>
      </c>
      <c r="B334" s="111"/>
      <c r="C334" s="168" t="s">
        <v>349</v>
      </c>
      <c r="D334" s="169"/>
      <c r="E334" s="9">
        <v>36</v>
      </c>
      <c r="F334" s="7" t="s">
        <v>147</v>
      </c>
      <c r="G334" s="7" t="s">
        <v>147</v>
      </c>
      <c r="H334" s="7" t="s">
        <v>147</v>
      </c>
      <c r="I334" s="7" t="s">
        <v>147</v>
      </c>
    </row>
    <row r="335" spans="1:9" ht="14.4" customHeight="1">
      <c r="A335" s="9">
        <v>3</v>
      </c>
      <c r="B335" s="111"/>
      <c r="C335" s="168" t="s">
        <v>349</v>
      </c>
      <c r="D335" s="169"/>
      <c r="E335" s="9">
        <v>36</v>
      </c>
      <c r="F335" s="7" t="s">
        <v>147</v>
      </c>
      <c r="G335" s="7" t="s">
        <v>147</v>
      </c>
      <c r="H335" s="7" t="s">
        <v>147</v>
      </c>
      <c r="I335" s="7" t="s">
        <v>147</v>
      </c>
    </row>
    <row r="336" spans="1:9" ht="14.4" customHeight="1">
      <c r="A336" s="9">
        <v>3</v>
      </c>
      <c r="B336" s="111"/>
      <c r="C336" s="168" t="s">
        <v>349</v>
      </c>
      <c r="D336" s="169"/>
      <c r="E336" s="9">
        <v>36</v>
      </c>
      <c r="F336" s="7" t="s">
        <v>147</v>
      </c>
      <c r="G336" s="7" t="s">
        <v>147</v>
      </c>
      <c r="H336" s="7" t="s">
        <v>147</v>
      </c>
      <c r="I336" s="7" t="s">
        <v>147</v>
      </c>
    </row>
    <row r="337" spans="1:9" ht="14.4" customHeight="1">
      <c r="A337" s="9">
        <v>3</v>
      </c>
      <c r="B337" s="111"/>
      <c r="C337" s="168" t="s">
        <v>349</v>
      </c>
      <c r="D337" s="169"/>
      <c r="E337" s="9">
        <v>36</v>
      </c>
      <c r="F337" s="7" t="s">
        <v>147</v>
      </c>
      <c r="G337" s="7" t="s">
        <v>147</v>
      </c>
      <c r="H337" s="7" t="s">
        <v>147</v>
      </c>
      <c r="I337" s="7" t="s">
        <v>147</v>
      </c>
    </row>
    <row r="338" spans="1:9" ht="14.4" customHeight="1">
      <c r="A338" s="9">
        <v>3</v>
      </c>
      <c r="B338" s="111"/>
      <c r="C338" s="168" t="s">
        <v>349</v>
      </c>
      <c r="D338" s="169"/>
      <c r="E338" s="9">
        <v>36</v>
      </c>
      <c r="F338" s="7" t="s">
        <v>147</v>
      </c>
      <c r="G338" s="7" t="s">
        <v>147</v>
      </c>
      <c r="H338" s="7" t="s">
        <v>147</v>
      </c>
      <c r="I338" s="7" t="s">
        <v>147</v>
      </c>
    </row>
    <row r="339" spans="1:9" ht="14.4" customHeight="1">
      <c r="A339" s="9">
        <v>3</v>
      </c>
      <c r="B339" s="111"/>
      <c r="C339" s="168" t="s">
        <v>349</v>
      </c>
      <c r="D339" s="169"/>
      <c r="E339" s="9">
        <v>36</v>
      </c>
      <c r="F339" s="7" t="s">
        <v>147</v>
      </c>
      <c r="G339" s="7" t="s">
        <v>147</v>
      </c>
      <c r="H339" s="7" t="s">
        <v>147</v>
      </c>
      <c r="I339" s="7" t="s">
        <v>147</v>
      </c>
    </row>
    <row r="340" spans="1:9" ht="14.4" customHeight="1">
      <c r="A340" s="9">
        <v>3</v>
      </c>
      <c r="B340" s="111"/>
      <c r="C340" s="168" t="s">
        <v>349</v>
      </c>
      <c r="D340" s="169"/>
      <c r="E340" s="9">
        <v>36</v>
      </c>
      <c r="F340" s="7" t="s">
        <v>147</v>
      </c>
      <c r="G340" s="7" t="s">
        <v>147</v>
      </c>
      <c r="H340" s="7" t="s">
        <v>147</v>
      </c>
      <c r="I340" s="7" t="s">
        <v>147</v>
      </c>
    </row>
    <row r="341" spans="1:9" ht="14.4" customHeight="1">
      <c r="A341" s="9">
        <v>3</v>
      </c>
      <c r="B341" s="111"/>
      <c r="C341" s="168" t="s">
        <v>349</v>
      </c>
      <c r="D341" s="169"/>
      <c r="E341" s="9">
        <v>36</v>
      </c>
      <c r="F341" s="7" t="s">
        <v>147</v>
      </c>
      <c r="G341" s="7" t="s">
        <v>147</v>
      </c>
      <c r="H341" s="7" t="s">
        <v>147</v>
      </c>
      <c r="I341" s="7" t="s">
        <v>147</v>
      </c>
    </row>
    <row r="342" spans="1:9" ht="14.4" customHeight="1">
      <c r="A342" s="9">
        <v>3</v>
      </c>
      <c r="B342" s="111"/>
      <c r="C342" s="168" t="s">
        <v>349</v>
      </c>
      <c r="D342" s="169"/>
      <c r="E342" s="9">
        <v>36</v>
      </c>
      <c r="F342" s="7" t="s">
        <v>147</v>
      </c>
      <c r="G342" s="7" t="s">
        <v>147</v>
      </c>
      <c r="H342" s="7" t="s">
        <v>147</v>
      </c>
      <c r="I342" s="7" t="s">
        <v>147</v>
      </c>
    </row>
    <row r="343" spans="1:9" ht="14.4" customHeight="1">
      <c r="A343" s="9">
        <v>3</v>
      </c>
      <c r="B343" s="111"/>
      <c r="C343" s="168" t="s">
        <v>349</v>
      </c>
      <c r="D343" s="169"/>
      <c r="E343" s="9">
        <v>36</v>
      </c>
      <c r="F343" s="7" t="s">
        <v>147</v>
      </c>
      <c r="G343" s="7" t="s">
        <v>147</v>
      </c>
      <c r="H343" s="7" t="s">
        <v>147</v>
      </c>
      <c r="I343" s="7" t="s">
        <v>147</v>
      </c>
    </row>
    <row r="344" spans="1:9" ht="14.4" customHeight="1">
      <c r="A344" s="9">
        <v>3</v>
      </c>
      <c r="B344" s="111"/>
      <c r="C344" s="168" t="s">
        <v>349</v>
      </c>
      <c r="D344" s="169"/>
      <c r="E344" s="9">
        <v>36</v>
      </c>
      <c r="F344" s="7" t="s">
        <v>147</v>
      </c>
      <c r="G344" s="7" t="s">
        <v>147</v>
      </c>
      <c r="H344" s="7" t="s">
        <v>147</v>
      </c>
      <c r="I344" s="7" t="s">
        <v>147</v>
      </c>
    </row>
    <row r="345" spans="1:9" ht="14.4" customHeight="1">
      <c r="A345" s="9">
        <v>3</v>
      </c>
      <c r="B345" s="111"/>
      <c r="C345" s="168" t="s">
        <v>349</v>
      </c>
      <c r="D345" s="169"/>
      <c r="E345" s="9">
        <v>36</v>
      </c>
      <c r="F345" s="7" t="s">
        <v>147</v>
      </c>
      <c r="G345" s="7" t="s">
        <v>147</v>
      </c>
      <c r="H345" s="7" t="s">
        <v>147</v>
      </c>
      <c r="I345" s="7" t="s">
        <v>147</v>
      </c>
    </row>
    <row r="346" spans="1:9" ht="14.4" customHeight="1">
      <c r="A346" s="9">
        <v>3</v>
      </c>
      <c r="B346" s="111"/>
      <c r="C346" s="168" t="s">
        <v>349</v>
      </c>
      <c r="D346" s="169"/>
      <c r="E346" s="9">
        <v>36</v>
      </c>
      <c r="F346" s="7" t="s">
        <v>147</v>
      </c>
      <c r="G346" s="7" t="s">
        <v>147</v>
      </c>
      <c r="H346" s="7" t="s">
        <v>147</v>
      </c>
      <c r="I346" s="7" t="s">
        <v>147</v>
      </c>
    </row>
    <row r="347" spans="1:9" ht="14.4" customHeight="1">
      <c r="A347" s="9">
        <v>3</v>
      </c>
      <c r="B347" s="111"/>
      <c r="C347" s="168" t="s">
        <v>349</v>
      </c>
      <c r="D347" s="169"/>
      <c r="E347" s="9">
        <v>36</v>
      </c>
      <c r="F347" s="7" t="s">
        <v>147</v>
      </c>
      <c r="G347" s="7" t="s">
        <v>147</v>
      </c>
      <c r="H347" s="7" t="s">
        <v>147</v>
      </c>
      <c r="I347" s="7" t="s">
        <v>147</v>
      </c>
    </row>
    <row r="348" spans="1:9" ht="14.4" customHeight="1">
      <c r="A348" s="9">
        <v>3</v>
      </c>
      <c r="B348" s="111"/>
      <c r="C348" s="168" t="s">
        <v>349</v>
      </c>
      <c r="D348" s="169"/>
      <c r="E348" s="9">
        <v>36</v>
      </c>
      <c r="F348" s="7" t="s">
        <v>147</v>
      </c>
      <c r="G348" s="7" t="s">
        <v>147</v>
      </c>
      <c r="H348" s="7" t="s">
        <v>147</v>
      </c>
      <c r="I348" s="7" t="s">
        <v>147</v>
      </c>
    </row>
    <row r="349" spans="1:9" ht="14.4" customHeight="1">
      <c r="A349" s="9">
        <v>3</v>
      </c>
      <c r="B349" s="111"/>
      <c r="C349" s="168" t="s">
        <v>349</v>
      </c>
      <c r="D349" s="169"/>
      <c r="E349" s="9">
        <v>36</v>
      </c>
      <c r="F349" s="7" t="s">
        <v>147</v>
      </c>
      <c r="G349" s="7" t="s">
        <v>147</v>
      </c>
      <c r="H349" s="7" t="s">
        <v>147</v>
      </c>
      <c r="I349" s="7" t="s">
        <v>147</v>
      </c>
    </row>
    <row r="350" spans="1:9" ht="14.4" customHeight="1">
      <c r="A350" s="9">
        <v>3</v>
      </c>
      <c r="B350" s="111"/>
      <c r="C350" s="168" t="s">
        <v>349</v>
      </c>
      <c r="D350" s="169"/>
      <c r="E350" s="9">
        <v>36</v>
      </c>
      <c r="F350" s="7" t="s">
        <v>147</v>
      </c>
      <c r="G350" s="7" t="s">
        <v>147</v>
      </c>
      <c r="H350" s="7" t="s">
        <v>147</v>
      </c>
      <c r="I350" s="7" t="s">
        <v>147</v>
      </c>
    </row>
    <row r="351" spans="1:9" ht="14.4" customHeight="1">
      <c r="A351" s="9">
        <v>3</v>
      </c>
      <c r="B351" s="111"/>
      <c r="C351" s="168" t="s">
        <v>349</v>
      </c>
      <c r="D351" s="169"/>
      <c r="E351" s="9">
        <v>36</v>
      </c>
      <c r="F351" s="7" t="s">
        <v>147</v>
      </c>
      <c r="G351" s="7" t="s">
        <v>147</v>
      </c>
      <c r="H351" s="7" t="s">
        <v>147</v>
      </c>
      <c r="I351" s="7" t="s">
        <v>147</v>
      </c>
    </row>
    <row r="352" spans="1:9" ht="14.4" customHeight="1">
      <c r="A352" s="9">
        <v>3</v>
      </c>
      <c r="B352" s="111"/>
      <c r="C352" s="168" t="s">
        <v>349</v>
      </c>
      <c r="D352" s="169"/>
      <c r="E352" s="9">
        <v>36</v>
      </c>
      <c r="F352" s="7" t="s">
        <v>147</v>
      </c>
      <c r="G352" s="7" t="s">
        <v>147</v>
      </c>
      <c r="H352" s="7" t="s">
        <v>147</v>
      </c>
      <c r="I352" s="7" t="s">
        <v>147</v>
      </c>
    </row>
    <row r="353" spans="1:9" ht="14.4" customHeight="1">
      <c r="A353" s="9">
        <v>3</v>
      </c>
      <c r="B353" s="111"/>
      <c r="C353" s="168" t="s">
        <v>349</v>
      </c>
      <c r="D353" s="169"/>
      <c r="E353" s="9">
        <v>36</v>
      </c>
      <c r="F353" s="7" t="s">
        <v>147</v>
      </c>
      <c r="G353" s="7" t="s">
        <v>147</v>
      </c>
      <c r="H353" s="7" t="s">
        <v>147</v>
      </c>
      <c r="I353" s="7" t="s">
        <v>147</v>
      </c>
    </row>
    <row r="354" spans="1:9" ht="14.4" customHeight="1">
      <c r="A354" s="9">
        <v>3</v>
      </c>
      <c r="B354" s="111"/>
      <c r="C354" s="168" t="s">
        <v>349</v>
      </c>
      <c r="D354" s="169"/>
      <c r="E354" s="9">
        <v>36</v>
      </c>
      <c r="F354" s="7" t="s">
        <v>147</v>
      </c>
      <c r="G354" s="7" t="s">
        <v>147</v>
      </c>
      <c r="H354" s="7" t="s">
        <v>147</v>
      </c>
      <c r="I354" s="7" t="s">
        <v>147</v>
      </c>
    </row>
    <row r="355" spans="1:9" ht="14.4" customHeight="1">
      <c r="A355" s="9">
        <v>3</v>
      </c>
      <c r="B355" s="111"/>
      <c r="C355" s="168" t="s">
        <v>349</v>
      </c>
      <c r="D355" s="169"/>
      <c r="E355" s="9">
        <v>36</v>
      </c>
      <c r="F355" s="7" t="s">
        <v>147</v>
      </c>
      <c r="G355" s="7" t="s">
        <v>147</v>
      </c>
      <c r="H355" s="7" t="s">
        <v>147</v>
      </c>
      <c r="I355" s="7" t="s">
        <v>147</v>
      </c>
    </row>
    <row r="356" spans="1:9" ht="14.4" customHeight="1">
      <c r="A356" s="9">
        <v>3</v>
      </c>
      <c r="B356" s="111"/>
      <c r="C356" s="168" t="s">
        <v>349</v>
      </c>
      <c r="D356" s="169"/>
      <c r="E356" s="9">
        <v>36</v>
      </c>
      <c r="F356" s="7" t="s">
        <v>147</v>
      </c>
      <c r="G356" s="7" t="s">
        <v>147</v>
      </c>
      <c r="H356" s="7" t="s">
        <v>147</v>
      </c>
      <c r="I356" s="7" t="s">
        <v>147</v>
      </c>
    </row>
    <row r="357" spans="1:9" ht="14.4" customHeight="1">
      <c r="A357" s="9">
        <v>3</v>
      </c>
      <c r="B357" s="111"/>
      <c r="C357" s="168" t="s">
        <v>349</v>
      </c>
      <c r="D357" s="169"/>
      <c r="E357" s="9">
        <v>36</v>
      </c>
      <c r="F357" s="7" t="s">
        <v>147</v>
      </c>
      <c r="G357" s="7" t="s">
        <v>147</v>
      </c>
      <c r="H357" s="7" t="s">
        <v>147</v>
      </c>
      <c r="I357" s="7" t="s">
        <v>147</v>
      </c>
    </row>
    <row r="358" spans="1:9" ht="14.4" customHeight="1">
      <c r="A358" s="9">
        <v>3</v>
      </c>
      <c r="B358" s="111"/>
      <c r="C358" s="168" t="s">
        <v>349</v>
      </c>
      <c r="D358" s="169"/>
      <c r="E358" s="9">
        <v>36</v>
      </c>
      <c r="F358" s="7" t="s">
        <v>147</v>
      </c>
      <c r="G358" s="7" t="s">
        <v>147</v>
      </c>
      <c r="H358" s="7" t="s">
        <v>147</v>
      </c>
      <c r="I358" s="7" t="s">
        <v>147</v>
      </c>
    </row>
    <row r="359" spans="1:9" ht="14.4" customHeight="1">
      <c r="A359" s="9">
        <v>3</v>
      </c>
      <c r="B359" s="111"/>
      <c r="C359" s="168" t="s">
        <v>349</v>
      </c>
      <c r="D359" s="169"/>
      <c r="E359" s="9">
        <v>36</v>
      </c>
      <c r="F359" s="7" t="s">
        <v>147</v>
      </c>
      <c r="G359" s="7" t="s">
        <v>147</v>
      </c>
      <c r="H359" s="7" t="s">
        <v>147</v>
      </c>
      <c r="I359" s="7" t="s">
        <v>147</v>
      </c>
    </row>
    <row r="360" spans="1:9" ht="14.4" customHeight="1">
      <c r="A360" s="9">
        <v>3</v>
      </c>
      <c r="B360" s="111"/>
      <c r="C360" s="168" t="s">
        <v>349</v>
      </c>
      <c r="D360" s="169"/>
      <c r="E360" s="9">
        <v>36</v>
      </c>
      <c r="F360" s="7" t="s">
        <v>147</v>
      </c>
      <c r="G360" s="7" t="s">
        <v>147</v>
      </c>
      <c r="H360" s="7" t="s">
        <v>147</v>
      </c>
      <c r="I360" s="7" t="s">
        <v>147</v>
      </c>
    </row>
    <row r="361" spans="1:9" ht="14.4" customHeight="1">
      <c r="A361" s="9">
        <v>3</v>
      </c>
      <c r="B361" s="111"/>
      <c r="C361" s="168" t="s">
        <v>349</v>
      </c>
      <c r="D361" s="169"/>
      <c r="E361" s="9">
        <v>36</v>
      </c>
      <c r="F361" s="7" t="s">
        <v>147</v>
      </c>
      <c r="G361" s="7" t="s">
        <v>147</v>
      </c>
      <c r="H361" s="7" t="s">
        <v>147</v>
      </c>
      <c r="I361" s="7" t="s">
        <v>147</v>
      </c>
    </row>
    <row r="362" spans="1:9" ht="14.4" customHeight="1">
      <c r="A362" s="9">
        <v>3</v>
      </c>
      <c r="B362" s="111"/>
      <c r="C362" s="168" t="s">
        <v>349</v>
      </c>
      <c r="D362" s="169"/>
      <c r="E362" s="9">
        <v>36</v>
      </c>
      <c r="F362" s="7" t="s">
        <v>147</v>
      </c>
      <c r="G362" s="7" t="s">
        <v>147</v>
      </c>
      <c r="H362" s="7" t="s">
        <v>147</v>
      </c>
      <c r="I362" s="7" t="s">
        <v>147</v>
      </c>
    </row>
    <row r="363" spans="1:9" ht="14.4" customHeight="1">
      <c r="A363" s="9">
        <v>3</v>
      </c>
      <c r="B363" s="111"/>
      <c r="C363" s="168" t="s">
        <v>349</v>
      </c>
      <c r="D363" s="169"/>
      <c r="E363" s="9">
        <v>36</v>
      </c>
      <c r="F363" s="7" t="s">
        <v>147</v>
      </c>
      <c r="G363" s="7" t="s">
        <v>147</v>
      </c>
      <c r="H363" s="7" t="s">
        <v>147</v>
      </c>
      <c r="I363" s="7" t="s">
        <v>147</v>
      </c>
    </row>
    <row r="364" spans="1:9" ht="14.4" customHeight="1">
      <c r="A364" s="9">
        <v>3</v>
      </c>
      <c r="B364" s="111"/>
      <c r="C364" s="168" t="s">
        <v>349</v>
      </c>
      <c r="D364" s="169"/>
      <c r="E364" s="9">
        <v>36</v>
      </c>
      <c r="F364" s="7" t="s">
        <v>147</v>
      </c>
      <c r="G364" s="7" t="s">
        <v>147</v>
      </c>
      <c r="H364" s="7" t="s">
        <v>147</v>
      </c>
      <c r="I364" s="7" t="s">
        <v>147</v>
      </c>
    </row>
    <row r="365" spans="1:9" ht="14.4" customHeight="1">
      <c r="A365" s="9">
        <v>3</v>
      </c>
      <c r="B365" s="111"/>
      <c r="C365" s="168" t="s">
        <v>349</v>
      </c>
      <c r="D365" s="169"/>
      <c r="E365" s="9">
        <v>36</v>
      </c>
      <c r="F365" s="7" t="s">
        <v>147</v>
      </c>
      <c r="G365" s="7" t="s">
        <v>147</v>
      </c>
      <c r="H365" s="7" t="s">
        <v>147</v>
      </c>
      <c r="I365" s="7" t="s">
        <v>147</v>
      </c>
    </row>
    <row r="366" spans="1:9" ht="14.4" customHeight="1">
      <c r="A366" s="9">
        <v>3</v>
      </c>
      <c r="B366" s="111"/>
      <c r="C366" s="168" t="s">
        <v>349</v>
      </c>
      <c r="D366" s="169"/>
      <c r="E366" s="9">
        <v>36</v>
      </c>
      <c r="F366" s="7" t="s">
        <v>147</v>
      </c>
      <c r="G366" s="7" t="s">
        <v>147</v>
      </c>
      <c r="H366" s="7" t="s">
        <v>147</v>
      </c>
      <c r="I366" s="7" t="s">
        <v>147</v>
      </c>
    </row>
    <row r="367" spans="1:9" ht="14.4" customHeight="1">
      <c r="A367" s="9">
        <v>3</v>
      </c>
      <c r="B367" s="111"/>
      <c r="C367" s="168" t="s">
        <v>349</v>
      </c>
      <c r="D367" s="169"/>
      <c r="E367" s="9">
        <v>36</v>
      </c>
      <c r="F367" s="7" t="s">
        <v>147</v>
      </c>
      <c r="G367" s="7" t="s">
        <v>147</v>
      </c>
      <c r="H367" s="7" t="s">
        <v>147</v>
      </c>
      <c r="I367" s="7" t="s">
        <v>147</v>
      </c>
    </row>
    <row r="368" spans="1:9" ht="14.4" customHeight="1">
      <c r="A368" s="9">
        <v>3</v>
      </c>
      <c r="B368" s="111"/>
      <c r="C368" s="168" t="s">
        <v>349</v>
      </c>
      <c r="D368" s="169"/>
      <c r="E368" s="9">
        <v>36</v>
      </c>
      <c r="F368" s="7" t="s">
        <v>147</v>
      </c>
      <c r="G368" s="7" t="s">
        <v>147</v>
      </c>
      <c r="H368" s="7" t="s">
        <v>147</v>
      </c>
      <c r="I368" s="7" t="s">
        <v>147</v>
      </c>
    </row>
    <row r="369" spans="1:9" ht="14.4" customHeight="1">
      <c r="A369" s="9">
        <v>3</v>
      </c>
      <c r="B369" s="111"/>
      <c r="C369" s="168" t="s">
        <v>349</v>
      </c>
      <c r="D369" s="169"/>
      <c r="E369" s="9">
        <v>36</v>
      </c>
      <c r="F369" s="7" t="s">
        <v>147</v>
      </c>
      <c r="G369" s="7" t="s">
        <v>147</v>
      </c>
      <c r="H369" s="7" t="s">
        <v>147</v>
      </c>
      <c r="I369" s="7" t="s">
        <v>147</v>
      </c>
    </row>
    <row r="370" spans="1:9" ht="14.4" customHeight="1">
      <c r="A370" s="9">
        <v>3</v>
      </c>
      <c r="B370" s="111"/>
      <c r="C370" s="168" t="s">
        <v>349</v>
      </c>
      <c r="D370" s="169"/>
      <c r="E370" s="9">
        <v>36</v>
      </c>
      <c r="F370" s="7" t="s">
        <v>147</v>
      </c>
      <c r="G370" s="7" t="s">
        <v>147</v>
      </c>
      <c r="H370" s="7" t="s">
        <v>147</v>
      </c>
      <c r="I370" s="7" t="s">
        <v>147</v>
      </c>
    </row>
    <row r="371" spans="1:9" ht="14.4" customHeight="1">
      <c r="A371" s="9">
        <v>3</v>
      </c>
      <c r="B371" s="111"/>
      <c r="C371" s="168" t="s">
        <v>349</v>
      </c>
      <c r="D371" s="169"/>
      <c r="E371" s="9">
        <v>36</v>
      </c>
      <c r="F371" s="7" t="s">
        <v>147</v>
      </c>
      <c r="G371" s="7" t="s">
        <v>147</v>
      </c>
      <c r="H371" s="7" t="s">
        <v>147</v>
      </c>
      <c r="I371" s="7" t="s">
        <v>147</v>
      </c>
    </row>
    <row r="372" spans="1:9" ht="14.4" customHeight="1">
      <c r="A372" s="9">
        <v>3</v>
      </c>
      <c r="B372" s="111"/>
      <c r="C372" s="168" t="s">
        <v>349</v>
      </c>
      <c r="D372" s="169"/>
      <c r="E372" s="9">
        <v>36</v>
      </c>
      <c r="F372" s="7" t="s">
        <v>147</v>
      </c>
      <c r="G372" s="7" t="s">
        <v>147</v>
      </c>
      <c r="H372" s="7" t="s">
        <v>147</v>
      </c>
      <c r="I372" s="7" t="s">
        <v>147</v>
      </c>
    </row>
    <row r="373" spans="1:9" ht="14.4" customHeight="1">
      <c r="A373" s="9">
        <v>3</v>
      </c>
      <c r="B373" s="111"/>
      <c r="C373" s="168" t="s">
        <v>349</v>
      </c>
      <c r="D373" s="169"/>
      <c r="E373" s="9">
        <v>36</v>
      </c>
      <c r="F373" s="7" t="s">
        <v>147</v>
      </c>
      <c r="G373" s="7" t="s">
        <v>147</v>
      </c>
      <c r="H373" s="7" t="s">
        <v>147</v>
      </c>
      <c r="I373" s="7" t="s">
        <v>147</v>
      </c>
    </row>
    <row r="374" spans="1:9" ht="14.4" customHeight="1">
      <c r="A374" s="9">
        <v>3</v>
      </c>
      <c r="B374" s="111"/>
      <c r="C374" s="168" t="s">
        <v>349</v>
      </c>
      <c r="D374" s="169"/>
      <c r="E374" s="9">
        <v>36</v>
      </c>
      <c r="F374" s="7" t="s">
        <v>147</v>
      </c>
      <c r="G374" s="7" t="s">
        <v>147</v>
      </c>
      <c r="H374" s="7" t="s">
        <v>147</v>
      </c>
      <c r="I374" s="7" t="s">
        <v>147</v>
      </c>
    </row>
    <row r="375" spans="1:9" ht="14.4" customHeight="1">
      <c r="A375" s="9">
        <v>3</v>
      </c>
      <c r="B375" s="111"/>
      <c r="C375" s="168" t="s">
        <v>349</v>
      </c>
      <c r="D375" s="169"/>
      <c r="E375" s="9">
        <v>36</v>
      </c>
      <c r="F375" s="7" t="s">
        <v>147</v>
      </c>
      <c r="G375" s="7" t="s">
        <v>147</v>
      </c>
      <c r="H375" s="7" t="s">
        <v>147</v>
      </c>
      <c r="I375" s="7" t="s">
        <v>147</v>
      </c>
    </row>
    <row r="376" spans="1:9" ht="14.4" customHeight="1">
      <c r="A376" s="9">
        <v>3</v>
      </c>
      <c r="B376" s="111"/>
      <c r="C376" s="168" t="s">
        <v>349</v>
      </c>
      <c r="D376" s="169"/>
      <c r="E376" s="9">
        <v>36</v>
      </c>
      <c r="F376" s="7" t="s">
        <v>147</v>
      </c>
      <c r="G376" s="7" t="s">
        <v>147</v>
      </c>
      <c r="H376" s="7" t="s">
        <v>147</v>
      </c>
      <c r="I376" s="7" t="s">
        <v>147</v>
      </c>
    </row>
    <row r="377" spans="1:9" ht="14.4" customHeight="1">
      <c r="A377" s="9">
        <v>3</v>
      </c>
      <c r="B377" s="111"/>
      <c r="C377" s="168" t="s">
        <v>349</v>
      </c>
      <c r="D377" s="169"/>
      <c r="E377" s="9">
        <v>36</v>
      </c>
      <c r="F377" s="7" t="s">
        <v>147</v>
      </c>
      <c r="G377" s="7" t="s">
        <v>147</v>
      </c>
      <c r="H377" s="7" t="s">
        <v>147</v>
      </c>
      <c r="I377" s="7" t="s">
        <v>147</v>
      </c>
    </row>
    <row r="378" spans="1:9" ht="14.4" customHeight="1">
      <c r="A378" s="9">
        <v>3</v>
      </c>
      <c r="B378" s="111"/>
      <c r="C378" s="168" t="s">
        <v>349</v>
      </c>
      <c r="D378" s="169"/>
      <c r="E378" s="9">
        <v>36</v>
      </c>
      <c r="F378" s="7" t="s">
        <v>147</v>
      </c>
      <c r="G378" s="7" t="s">
        <v>147</v>
      </c>
      <c r="H378" s="7" t="s">
        <v>147</v>
      </c>
      <c r="I378" s="7" t="s">
        <v>147</v>
      </c>
    </row>
    <row r="379" spans="1:9" ht="14.4" customHeight="1">
      <c r="A379" s="9">
        <v>3</v>
      </c>
      <c r="B379" s="111"/>
      <c r="C379" s="168" t="s">
        <v>349</v>
      </c>
      <c r="D379" s="169"/>
      <c r="E379" s="9">
        <v>36</v>
      </c>
      <c r="F379" s="7" t="s">
        <v>147</v>
      </c>
      <c r="G379" s="7" t="s">
        <v>147</v>
      </c>
      <c r="H379" s="7" t="s">
        <v>147</v>
      </c>
      <c r="I379" s="7" t="s">
        <v>147</v>
      </c>
    </row>
    <row r="380" spans="1:9" ht="14.4" customHeight="1">
      <c r="A380" s="9">
        <v>3</v>
      </c>
      <c r="B380" s="111"/>
      <c r="C380" s="168" t="s">
        <v>349</v>
      </c>
      <c r="D380" s="169"/>
      <c r="E380" s="9">
        <v>36</v>
      </c>
      <c r="F380" s="7" t="s">
        <v>147</v>
      </c>
      <c r="G380" s="7" t="s">
        <v>147</v>
      </c>
      <c r="H380" s="7" t="s">
        <v>147</v>
      </c>
      <c r="I380" s="7" t="s">
        <v>147</v>
      </c>
    </row>
    <row r="381" spans="1:9" ht="14.4" customHeight="1">
      <c r="A381" s="9">
        <v>3</v>
      </c>
      <c r="B381" s="111"/>
      <c r="C381" s="168" t="s">
        <v>349</v>
      </c>
      <c r="D381" s="169"/>
      <c r="E381" s="9">
        <v>36</v>
      </c>
      <c r="F381" s="7" t="s">
        <v>147</v>
      </c>
      <c r="G381" s="7" t="s">
        <v>147</v>
      </c>
      <c r="H381" s="7" t="s">
        <v>147</v>
      </c>
      <c r="I381" s="7" t="s">
        <v>147</v>
      </c>
    </row>
    <row r="382" spans="1:9" ht="14.4" customHeight="1">
      <c r="A382" s="9">
        <v>3</v>
      </c>
      <c r="B382" s="111"/>
      <c r="C382" s="168" t="s">
        <v>349</v>
      </c>
      <c r="D382" s="169"/>
      <c r="E382" s="9">
        <v>36</v>
      </c>
      <c r="F382" s="7" t="s">
        <v>147</v>
      </c>
      <c r="G382" s="7" t="s">
        <v>147</v>
      </c>
      <c r="H382" s="7" t="s">
        <v>147</v>
      </c>
      <c r="I382" s="7" t="s">
        <v>147</v>
      </c>
    </row>
    <row r="383" spans="1:9" ht="14.4" customHeight="1">
      <c r="A383" s="9">
        <v>3</v>
      </c>
      <c r="B383" s="111"/>
      <c r="C383" s="168" t="s">
        <v>349</v>
      </c>
      <c r="D383" s="169"/>
      <c r="E383" s="9">
        <v>36</v>
      </c>
      <c r="F383" s="7" t="s">
        <v>147</v>
      </c>
      <c r="G383" s="7" t="s">
        <v>147</v>
      </c>
      <c r="H383" s="7" t="s">
        <v>147</v>
      </c>
      <c r="I383" s="7" t="s">
        <v>147</v>
      </c>
    </row>
    <row r="384" spans="1:9" ht="14.4" customHeight="1">
      <c r="A384" s="9">
        <v>3</v>
      </c>
      <c r="B384" s="111"/>
      <c r="C384" s="168" t="s">
        <v>349</v>
      </c>
      <c r="D384" s="169"/>
      <c r="E384" s="9">
        <v>36</v>
      </c>
      <c r="F384" s="7" t="s">
        <v>147</v>
      </c>
      <c r="G384" s="7" t="s">
        <v>147</v>
      </c>
      <c r="H384" s="7" t="s">
        <v>147</v>
      </c>
      <c r="I384" s="7" t="s">
        <v>147</v>
      </c>
    </row>
    <row r="385" spans="1:9" ht="14.4" customHeight="1">
      <c r="A385" s="9">
        <v>3</v>
      </c>
      <c r="B385" s="111"/>
      <c r="C385" s="168" t="s">
        <v>349</v>
      </c>
      <c r="D385" s="169"/>
      <c r="E385" s="9">
        <v>36</v>
      </c>
      <c r="F385" s="7" t="s">
        <v>147</v>
      </c>
      <c r="G385" s="7" t="s">
        <v>147</v>
      </c>
      <c r="H385" s="7" t="s">
        <v>147</v>
      </c>
      <c r="I385" s="7" t="s">
        <v>147</v>
      </c>
    </row>
    <row r="386" spans="1:9" ht="14.4" customHeight="1">
      <c r="A386" s="9">
        <v>3</v>
      </c>
      <c r="B386" s="111"/>
      <c r="C386" s="168" t="s">
        <v>349</v>
      </c>
      <c r="D386" s="169"/>
      <c r="E386" s="9">
        <v>36</v>
      </c>
      <c r="F386" s="7" t="s">
        <v>147</v>
      </c>
      <c r="G386" s="7" t="s">
        <v>147</v>
      </c>
      <c r="H386" s="7" t="s">
        <v>147</v>
      </c>
      <c r="I386" s="7" t="s">
        <v>147</v>
      </c>
    </row>
    <row r="387" spans="1:9" ht="14.4" customHeight="1">
      <c r="A387" s="9">
        <v>3</v>
      </c>
      <c r="B387" s="111"/>
      <c r="C387" s="168" t="s">
        <v>349</v>
      </c>
      <c r="D387" s="169"/>
      <c r="E387" s="9">
        <v>36</v>
      </c>
      <c r="F387" s="7" t="s">
        <v>147</v>
      </c>
      <c r="G387" s="7" t="s">
        <v>147</v>
      </c>
      <c r="H387" s="7" t="s">
        <v>147</v>
      </c>
      <c r="I387" s="7" t="s">
        <v>147</v>
      </c>
    </row>
    <row r="388" spans="1:9" ht="14.4" customHeight="1">
      <c r="A388" s="9">
        <v>3</v>
      </c>
      <c r="B388" s="111"/>
      <c r="C388" s="168" t="s">
        <v>349</v>
      </c>
      <c r="D388" s="169"/>
      <c r="E388" s="9">
        <v>36</v>
      </c>
      <c r="F388" s="7" t="s">
        <v>147</v>
      </c>
      <c r="G388" s="7" t="s">
        <v>147</v>
      </c>
      <c r="H388" s="7" t="s">
        <v>147</v>
      </c>
      <c r="I388" s="7" t="s">
        <v>147</v>
      </c>
    </row>
    <row r="389" spans="1:9" ht="14.4" customHeight="1">
      <c r="A389" s="9">
        <v>3</v>
      </c>
      <c r="B389" s="111"/>
      <c r="C389" s="168" t="s">
        <v>349</v>
      </c>
      <c r="D389" s="169"/>
      <c r="E389" s="9">
        <v>36</v>
      </c>
      <c r="F389" s="7" t="s">
        <v>147</v>
      </c>
      <c r="G389" s="7" t="s">
        <v>147</v>
      </c>
      <c r="H389" s="7" t="s">
        <v>147</v>
      </c>
      <c r="I389" s="7" t="s">
        <v>147</v>
      </c>
    </row>
    <row r="390" spans="1:9" ht="14.4" customHeight="1">
      <c r="A390" s="9">
        <v>3</v>
      </c>
      <c r="B390" s="111"/>
      <c r="C390" s="168" t="s">
        <v>349</v>
      </c>
      <c r="D390" s="169"/>
      <c r="E390" s="9">
        <v>36</v>
      </c>
      <c r="F390" s="7" t="s">
        <v>147</v>
      </c>
      <c r="G390" s="7" t="s">
        <v>147</v>
      </c>
      <c r="H390" s="7" t="s">
        <v>147</v>
      </c>
      <c r="I390" s="7" t="s">
        <v>147</v>
      </c>
    </row>
    <row r="391" spans="1:9" ht="14.4" customHeight="1">
      <c r="A391" s="9">
        <v>3</v>
      </c>
      <c r="B391" s="111"/>
      <c r="C391" s="168" t="s">
        <v>349</v>
      </c>
      <c r="D391" s="169"/>
      <c r="E391" s="9">
        <v>36</v>
      </c>
      <c r="F391" s="7" t="s">
        <v>147</v>
      </c>
      <c r="G391" s="7" t="s">
        <v>147</v>
      </c>
      <c r="H391" s="7" t="s">
        <v>147</v>
      </c>
      <c r="I391" s="7" t="s">
        <v>147</v>
      </c>
    </row>
    <row r="392" spans="1:9" ht="14.4" customHeight="1">
      <c r="A392" s="9">
        <v>3</v>
      </c>
      <c r="B392" s="111"/>
      <c r="C392" s="168" t="s">
        <v>349</v>
      </c>
      <c r="D392" s="169"/>
      <c r="E392" s="9">
        <v>36</v>
      </c>
      <c r="F392" s="7" t="s">
        <v>147</v>
      </c>
      <c r="G392" s="7" t="s">
        <v>147</v>
      </c>
      <c r="H392" s="7" t="s">
        <v>147</v>
      </c>
      <c r="I392" s="7" t="s">
        <v>147</v>
      </c>
    </row>
    <row r="393" spans="1:9" ht="14.4" customHeight="1">
      <c r="A393" s="9">
        <v>3</v>
      </c>
      <c r="B393" s="111"/>
      <c r="C393" s="168" t="s">
        <v>349</v>
      </c>
      <c r="D393" s="169"/>
      <c r="E393" s="9">
        <v>36</v>
      </c>
      <c r="F393" s="7" t="s">
        <v>147</v>
      </c>
      <c r="G393" s="7" t="s">
        <v>147</v>
      </c>
      <c r="H393" s="7" t="s">
        <v>147</v>
      </c>
      <c r="I393" s="7" t="s">
        <v>147</v>
      </c>
    </row>
    <row r="394" spans="1:9" ht="14.4" customHeight="1">
      <c r="A394" s="9">
        <v>3</v>
      </c>
      <c r="B394" s="111"/>
      <c r="C394" s="168" t="s">
        <v>349</v>
      </c>
      <c r="D394" s="169"/>
      <c r="E394" s="9">
        <v>36</v>
      </c>
      <c r="F394" s="7" t="s">
        <v>147</v>
      </c>
      <c r="G394" s="7" t="s">
        <v>147</v>
      </c>
      <c r="H394" s="7" t="s">
        <v>147</v>
      </c>
      <c r="I394" s="7" t="s">
        <v>147</v>
      </c>
    </row>
    <row r="395" spans="1:9" ht="14.4" customHeight="1">
      <c r="A395" s="9">
        <v>3</v>
      </c>
      <c r="B395" s="111"/>
      <c r="C395" s="168" t="s">
        <v>349</v>
      </c>
      <c r="D395" s="169"/>
      <c r="E395" s="9">
        <v>36</v>
      </c>
      <c r="F395" s="7" t="s">
        <v>147</v>
      </c>
      <c r="G395" s="7" t="s">
        <v>147</v>
      </c>
      <c r="H395" s="7" t="s">
        <v>147</v>
      </c>
      <c r="I395" s="7" t="s">
        <v>147</v>
      </c>
    </row>
    <row r="396" spans="1:9" ht="14.4" customHeight="1">
      <c r="A396" s="9">
        <v>3</v>
      </c>
      <c r="B396" s="111"/>
      <c r="C396" s="168" t="s">
        <v>349</v>
      </c>
      <c r="D396" s="169"/>
      <c r="E396" s="9">
        <v>36</v>
      </c>
      <c r="F396" s="7" t="s">
        <v>147</v>
      </c>
      <c r="G396" s="7" t="s">
        <v>147</v>
      </c>
      <c r="H396" s="7" t="s">
        <v>147</v>
      </c>
      <c r="I396" s="7" t="s">
        <v>147</v>
      </c>
    </row>
    <row r="397" spans="1:9" ht="14.4" customHeight="1">
      <c r="A397" s="9">
        <v>3</v>
      </c>
      <c r="B397" s="111"/>
      <c r="C397" s="168" t="s">
        <v>349</v>
      </c>
      <c r="D397" s="169"/>
      <c r="E397" s="9">
        <v>36</v>
      </c>
      <c r="F397" s="7" t="s">
        <v>147</v>
      </c>
      <c r="G397" s="7" t="s">
        <v>147</v>
      </c>
      <c r="H397" s="7" t="s">
        <v>147</v>
      </c>
      <c r="I397" s="7" t="s">
        <v>147</v>
      </c>
    </row>
    <row r="398" spans="1:9" ht="14.4" customHeight="1">
      <c r="A398" s="9">
        <v>3</v>
      </c>
      <c r="B398" s="111"/>
      <c r="C398" s="168" t="s">
        <v>349</v>
      </c>
      <c r="D398" s="169"/>
      <c r="E398" s="9">
        <v>36</v>
      </c>
      <c r="F398" s="7" t="s">
        <v>147</v>
      </c>
      <c r="G398" s="7" t="s">
        <v>147</v>
      </c>
      <c r="H398" s="7" t="s">
        <v>147</v>
      </c>
      <c r="I398" s="7" t="s">
        <v>147</v>
      </c>
    </row>
    <row r="399" spans="1:9" ht="14.4" customHeight="1">
      <c r="A399" s="9">
        <v>3</v>
      </c>
      <c r="B399" s="111"/>
      <c r="C399" s="168" t="s">
        <v>349</v>
      </c>
      <c r="D399" s="169"/>
      <c r="E399" s="9">
        <v>36</v>
      </c>
      <c r="F399" s="7" t="s">
        <v>147</v>
      </c>
      <c r="G399" s="7" t="s">
        <v>147</v>
      </c>
      <c r="H399" s="7" t="s">
        <v>147</v>
      </c>
      <c r="I399" s="7" t="s">
        <v>147</v>
      </c>
    </row>
    <row r="400" spans="1:9" ht="14.4" customHeight="1">
      <c r="A400" s="9">
        <v>3</v>
      </c>
      <c r="B400" s="111"/>
      <c r="C400" s="168" t="s">
        <v>349</v>
      </c>
      <c r="D400" s="169"/>
      <c r="E400" s="9">
        <v>36</v>
      </c>
      <c r="F400" s="7" t="s">
        <v>147</v>
      </c>
      <c r="G400" s="7" t="s">
        <v>147</v>
      </c>
      <c r="H400" s="7" t="s">
        <v>147</v>
      </c>
      <c r="I400" s="7" t="s">
        <v>147</v>
      </c>
    </row>
    <row r="401" spans="1:9" ht="14.4" customHeight="1">
      <c r="A401" s="9">
        <v>3</v>
      </c>
      <c r="B401" s="111"/>
      <c r="C401" s="168" t="s">
        <v>349</v>
      </c>
      <c r="D401" s="169"/>
      <c r="E401" s="9">
        <v>36</v>
      </c>
      <c r="F401" s="7" t="s">
        <v>147</v>
      </c>
      <c r="G401" s="7" t="s">
        <v>147</v>
      </c>
      <c r="H401" s="7" t="s">
        <v>147</v>
      </c>
      <c r="I401" s="7" t="s">
        <v>147</v>
      </c>
    </row>
    <row r="402" spans="1:9" ht="14.4" customHeight="1">
      <c r="A402" s="9">
        <v>3</v>
      </c>
      <c r="B402" s="111"/>
      <c r="C402" s="168" t="s">
        <v>349</v>
      </c>
      <c r="D402" s="169"/>
      <c r="E402" s="9">
        <v>36</v>
      </c>
      <c r="F402" s="7" t="s">
        <v>147</v>
      </c>
      <c r="G402" s="7" t="s">
        <v>147</v>
      </c>
      <c r="H402" s="7" t="s">
        <v>147</v>
      </c>
      <c r="I402" s="7" t="s">
        <v>147</v>
      </c>
    </row>
    <row r="403" spans="1:9" ht="14.4" customHeight="1">
      <c r="A403" s="9">
        <v>3</v>
      </c>
      <c r="B403" s="111"/>
      <c r="C403" s="168" t="s">
        <v>349</v>
      </c>
      <c r="D403" s="169"/>
      <c r="E403" s="9">
        <v>36</v>
      </c>
      <c r="F403" s="7" t="s">
        <v>147</v>
      </c>
      <c r="G403" s="7" t="s">
        <v>147</v>
      </c>
      <c r="H403" s="7" t="s">
        <v>147</v>
      </c>
      <c r="I403" s="7" t="s">
        <v>147</v>
      </c>
    </row>
    <row r="404" spans="1:9" ht="14.4" customHeight="1">
      <c r="A404" s="9">
        <v>3</v>
      </c>
      <c r="B404" s="111"/>
      <c r="C404" s="168" t="s">
        <v>349</v>
      </c>
      <c r="D404" s="169"/>
      <c r="E404" s="9">
        <v>36</v>
      </c>
      <c r="F404" s="7" t="s">
        <v>147</v>
      </c>
      <c r="G404" s="7" t="s">
        <v>147</v>
      </c>
      <c r="H404" s="7" t="s">
        <v>147</v>
      </c>
      <c r="I404" s="7" t="s">
        <v>147</v>
      </c>
    </row>
    <row r="405" spans="1:9" ht="14.4" customHeight="1">
      <c r="A405" s="9">
        <v>3</v>
      </c>
      <c r="B405" s="111"/>
      <c r="C405" s="168" t="s">
        <v>349</v>
      </c>
      <c r="D405" s="169"/>
      <c r="E405" s="9">
        <v>36</v>
      </c>
      <c r="F405" s="7" t="s">
        <v>147</v>
      </c>
      <c r="G405" s="7" t="s">
        <v>147</v>
      </c>
      <c r="H405" s="7" t="s">
        <v>147</v>
      </c>
      <c r="I405" s="7" t="s">
        <v>147</v>
      </c>
    </row>
    <row r="406" spans="1:9" ht="14.4" customHeight="1">
      <c r="A406" s="9">
        <v>3</v>
      </c>
      <c r="B406" s="111"/>
      <c r="C406" s="168" t="s">
        <v>349</v>
      </c>
      <c r="D406" s="169"/>
      <c r="E406" s="9">
        <v>36</v>
      </c>
      <c r="F406" s="7" t="s">
        <v>147</v>
      </c>
      <c r="G406" s="7" t="s">
        <v>147</v>
      </c>
      <c r="H406" s="7" t="s">
        <v>147</v>
      </c>
      <c r="I406" s="7" t="s">
        <v>147</v>
      </c>
    </row>
    <row r="407" spans="1:9" ht="14.4" customHeight="1">
      <c r="A407" s="9">
        <v>3</v>
      </c>
      <c r="B407" s="111"/>
      <c r="C407" s="168" t="s">
        <v>349</v>
      </c>
      <c r="D407" s="169"/>
      <c r="E407" s="9">
        <v>36</v>
      </c>
      <c r="F407" s="7" t="s">
        <v>147</v>
      </c>
      <c r="G407" s="7" t="s">
        <v>147</v>
      </c>
      <c r="H407" s="7" t="s">
        <v>147</v>
      </c>
      <c r="I407" s="7" t="s">
        <v>147</v>
      </c>
    </row>
    <row r="408" spans="1:9" ht="14.4" customHeight="1">
      <c r="A408" s="9">
        <v>3</v>
      </c>
      <c r="B408" s="111"/>
      <c r="C408" s="168" t="s">
        <v>349</v>
      </c>
      <c r="D408" s="169"/>
      <c r="E408" s="9">
        <v>36</v>
      </c>
      <c r="F408" s="7" t="s">
        <v>147</v>
      </c>
      <c r="G408" s="7" t="s">
        <v>147</v>
      </c>
      <c r="H408" s="7" t="s">
        <v>147</v>
      </c>
      <c r="I408" s="7" t="s">
        <v>147</v>
      </c>
    </row>
    <row r="409" spans="1:9" ht="14.4" customHeight="1">
      <c r="A409" s="9">
        <v>3</v>
      </c>
      <c r="B409" s="111"/>
      <c r="C409" s="168" t="s">
        <v>349</v>
      </c>
      <c r="D409" s="169"/>
      <c r="E409" s="9">
        <v>36</v>
      </c>
      <c r="F409" s="7" t="s">
        <v>147</v>
      </c>
      <c r="G409" s="7" t="s">
        <v>147</v>
      </c>
      <c r="H409" s="7" t="s">
        <v>147</v>
      </c>
      <c r="I409" s="7" t="s">
        <v>147</v>
      </c>
    </row>
    <row r="410" spans="1:9" ht="14.4" customHeight="1">
      <c r="A410" s="9">
        <v>3</v>
      </c>
      <c r="B410" s="111"/>
      <c r="C410" s="168" t="s">
        <v>349</v>
      </c>
      <c r="D410" s="169"/>
      <c r="E410" s="9">
        <v>36</v>
      </c>
      <c r="F410" s="7" t="s">
        <v>147</v>
      </c>
      <c r="G410" s="7" t="s">
        <v>147</v>
      </c>
      <c r="H410" s="7" t="s">
        <v>147</v>
      </c>
      <c r="I410" s="7" t="s">
        <v>147</v>
      </c>
    </row>
    <row r="411" spans="1:9" ht="14.4" customHeight="1">
      <c r="A411" s="9">
        <v>3</v>
      </c>
      <c r="B411" s="111"/>
      <c r="C411" s="168" t="s">
        <v>349</v>
      </c>
      <c r="D411" s="169"/>
      <c r="E411" s="9">
        <v>36</v>
      </c>
      <c r="F411" s="7" t="s">
        <v>147</v>
      </c>
      <c r="G411" s="7" t="s">
        <v>147</v>
      </c>
      <c r="H411" s="7" t="s">
        <v>147</v>
      </c>
      <c r="I411" s="7" t="s">
        <v>147</v>
      </c>
    </row>
    <row r="412" spans="1:9" ht="14.4" customHeight="1">
      <c r="A412" s="9">
        <v>3</v>
      </c>
      <c r="B412" s="111"/>
      <c r="C412" s="168" t="s">
        <v>349</v>
      </c>
      <c r="D412" s="169"/>
      <c r="E412" s="9">
        <v>36</v>
      </c>
      <c r="F412" s="7" t="s">
        <v>147</v>
      </c>
      <c r="G412" s="7" t="s">
        <v>147</v>
      </c>
      <c r="H412" s="7" t="s">
        <v>147</v>
      </c>
      <c r="I412" s="7" t="s">
        <v>147</v>
      </c>
    </row>
    <row r="413" spans="1:9" ht="14.4" customHeight="1">
      <c r="A413" s="9">
        <v>3</v>
      </c>
      <c r="B413" s="111"/>
      <c r="C413" s="168" t="s">
        <v>349</v>
      </c>
      <c r="D413" s="169"/>
      <c r="E413" s="9">
        <v>36</v>
      </c>
      <c r="F413" s="7" t="s">
        <v>147</v>
      </c>
      <c r="G413" s="7" t="s">
        <v>147</v>
      </c>
      <c r="H413" s="7" t="s">
        <v>147</v>
      </c>
      <c r="I413" s="7" t="s">
        <v>147</v>
      </c>
    </row>
    <row r="414" spans="1:9" ht="14.4" customHeight="1">
      <c r="A414" s="9">
        <v>3</v>
      </c>
      <c r="B414" s="111"/>
      <c r="C414" s="168" t="s">
        <v>349</v>
      </c>
      <c r="D414" s="169"/>
      <c r="E414" s="9">
        <v>36</v>
      </c>
      <c r="F414" s="7" t="s">
        <v>147</v>
      </c>
      <c r="G414" s="7" t="s">
        <v>147</v>
      </c>
      <c r="H414" s="7" t="s">
        <v>147</v>
      </c>
      <c r="I414" s="7" t="s">
        <v>147</v>
      </c>
    </row>
    <row r="415" spans="1:9" ht="14.4" customHeight="1">
      <c r="A415" s="9">
        <v>3</v>
      </c>
      <c r="B415" s="111"/>
      <c r="C415" s="168" t="s">
        <v>349</v>
      </c>
      <c r="D415" s="169"/>
      <c r="E415" s="9">
        <v>36</v>
      </c>
      <c r="F415" s="7" t="s">
        <v>147</v>
      </c>
      <c r="G415" s="7" t="s">
        <v>147</v>
      </c>
      <c r="H415" s="7" t="s">
        <v>147</v>
      </c>
      <c r="I415" s="7" t="s">
        <v>147</v>
      </c>
    </row>
    <row r="416" spans="1:9" ht="14.4" customHeight="1">
      <c r="A416" s="9">
        <v>3</v>
      </c>
      <c r="B416" s="111"/>
      <c r="C416" s="168" t="s">
        <v>349</v>
      </c>
      <c r="D416" s="169"/>
      <c r="E416" s="9">
        <v>36</v>
      </c>
      <c r="F416" s="7" t="s">
        <v>147</v>
      </c>
      <c r="G416" s="7" t="s">
        <v>147</v>
      </c>
      <c r="H416" s="7" t="s">
        <v>147</v>
      </c>
      <c r="I416" s="7" t="s">
        <v>147</v>
      </c>
    </row>
    <row r="417" spans="1:9" ht="14.4" customHeight="1">
      <c r="A417" s="9">
        <v>3</v>
      </c>
      <c r="B417" s="111"/>
      <c r="C417" s="168" t="s">
        <v>349</v>
      </c>
      <c r="D417" s="169"/>
      <c r="E417" s="9">
        <v>36</v>
      </c>
      <c r="F417" s="7" t="s">
        <v>147</v>
      </c>
      <c r="G417" s="7" t="s">
        <v>147</v>
      </c>
      <c r="H417" s="7" t="s">
        <v>147</v>
      </c>
      <c r="I417" s="7" t="s">
        <v>147</v>
      </c>
    </row>
    <row r="418" spans="1:9" ht="14.4" customHeight="1">
      <c r="A418" s="9">
        <v>3</v>
      </c>
      <c r="B418" s="111"/>
      <c r="C418" s="168" t="s">
        <v>349</v>
      </c>
      <c r="D418" s="169"/>
      <c r="E418" s="9">
        <v>36</v>
      </c>
      <c r="F418" s="7" t="s">
        <v>147</v>
      </c>
      <c r="G418" s="7" t="s">
        <v>147</v>
      </c>
      <c r="H418" s="7" t="s">
        <v>147</v>
      </c>
      <c r="I418" s="7" t="s">
        <v>147</v>
      </c>
    </row>
    <row r="419" spans="1:9" ht="14.4" customHeight="1">
      <c r="A419" s="9">
        <v>3</v>
      </c>
      <c r="B419" s="111"/>
      <c r="C419" s="168" t="s">
        <v>349</v>
      </c>
      <c r="D419" s="169"/>
      <c r="E419" s="9">
        <v>36</v>
      </c>
      <c r="F419" s="7" t="s">
        <v>147</v>
      </c>
      <c r="G419" s="7" t="s">
        <v>147</v>
      </c>
      <c r="H419" s="7" t="s">
        <v>147</v>
      </c>
      <c r="I419" s="7" t="s">
        <v>147</v>
      </c>
    </row>
    <row r="420" spans="1:9" ht="14.4" customHeight="1">
      <c r="A420" s="9">
        <v>3</v>
      </c>
      <c r="B420" s="111"/>
      <c r="C420" s="168" t="s">
        <v>349</v>
      </c>
      <c r="D420" s="169"/>
      <c r="E420" s="9">
        <v>36</v>
      </c>
      <c r="F420" s="7" t="s">
        <v>147</v>
      </c>
      <c r="G420" s="7" t="s">
        <v>147</v>
      </c>
      <c r="H420" s="7" t="s">
        <v>147</v>
      </c>
      <c r="I420" s="7" t="s">
        <v>147</v>
      </c>
    </row>
    <row r="421" spans="1:9" ht="14.4" customHeight="1">
      <c r="A421" s="9">
        <v>3</v>
      </c>
      <c r="B421" s="111"/>
      <c r="C421" s="168" t="s">
        <v>349</v>
      </c>
      <c r="D421" s="169"/>
      <c r="E421" s="9">
        <v>36</v>
      </c>
      <c r="F421" s="7" t="s">
        <v>147</v>
      </c>
      <c r="G421" s="7" t="s">
        <v>147</v>
      </c>
      <c r="H421" s="7" t="s">
        <v>147</v>
      </c>
      <c r="I421" s="7" t="s">
        <v>147</v>
      </c>
    </row>
    <row r="422" spans="1:9" ht="14.4" customHeight="1">
      <c r="A422" s="9">
        <v>3</v>
      </c>
      <c r="B422" s="111"/>
      <c r="C422" s="168" t="s">
        <v>349</v>
      </c>
      <c r="D422" s="169"/>
      <c r="E422" s="9">
        <v>36</v>
      </c>
      <c r="F422" s="7" t="s">
        <v>147</v>
      </c>
      <c r="G422" s="7" t="s">
        <v>147</v>
      </c>
      <c r="H422" s="7" t="s">
        <v>147</v>
      </c>
      <c r="I422" s="7" t="s">
        <v>147</v>
      </c>
    </row>
    <row r="423" spans="1:9" ht="14.4" customHeight="1">
      <c r="A423" s="9">
        <v>3</v>
      </c>
      <c r="B423" s="111"/>
      <c r="C423" s="168" t="s">
        <v>349</v>
      </c>
      <c r="D423" s="169"/>
      <c r="E423" s="9">
        <v>36</v>
      </c>
      <c r="F423" s="7" t="s">
        <v>147</v>
      </c>
      <c r="G423" s="7" t="s">
        <v>147</v>
      </c>
      <c r="H423" s="7" t="s">
        <v>147</v>
      </c>
      <c r="I423" s="7" t="s">
        <v>147</v>
      </c>
    </row>
    <row r="424" spans="1:9" ht="14.4" customHeight="1">
      <c r="A424" s="9">
        <v>3</v>
      </c>
      <c r="B424" s="111"/>
      <c r="C424" s="168" t="s">
        <v>349</v>
      </c>
      <c r="D424" s="169"/>
      <c r="E424" s="9">
        <v>36</v>
      </c>
      <c r="F424" s="7" t="s">
        <v>147</v>
      </c>
      <c r="G424" s="7" t="s">
        <v>147</v>
      </c>
      <c r="H424" s="7" t="s">
        <v>147</v>
      </c>
      <c r="I424" s="7" t="s">
        <v>147</v>
      </c>
    </row>
    <row r="425" spans="1:9" ht="14.4" customHeight="1">
      <c r="A425" s="9">
        <v>3</v>
      </c>
      <c r="B425" s="111"/>
      <c r="C425" s="168" t="s">
        <v>349</v>
      </c>
      <c r="D425" s="169"/>
      <c r="E425" s="9">
        <v>36</v>
      </c>
      <c r="F425" s="7" t="s">
        <v>147</v>
      </c>
      <c r="G425" s="7" t="s">
        <v>147</v>
      </c>
      <c r="H425" s="7" t="s">
        <v>147</v>
      </c>
      <c r="I425" s="7" t="s">
        <v>147</v>
      </c>
    </row>
    <row r="426" spans="1:9" ht="14.4" customHeight="1">
      <c r="A426" s="9">
        <v>3</v>
      </c>
      <c r="B426" s="111"/>
      <c r="C426" s="168" t="s">
        <v>349</v>
      </c>
      <c r="D426" s="169"/>
      <c r="E426" s="9">
        <v>36</v>
      </c>
      <c r="F426" s="7" t="s">
        <v>147</v>
      </c>
      <c r="G426" s="7" t="s">
        <v>147</v>
      </c>
      <c r="H426" s="7" t="s">
        <v>147</v>
      </c>
      <c r="I426" s="7" t="s">
        <v>147</v>
      </c>
    </row>
    <row r="427" spans="1:9" ht="14.4" customHeight="1">
      <c r="A427" s="9">
        <v>3</v>
      </c>
      <c r="B427" s="111"/>
      <c r="C427" s="168" t="s">
        <v>349</v>
      </c>
      <c r="D427" s="169"/>
      <c r="E427" s="9">
        <v>36</v>
      </c>
      <c r="F427" s="7" t="s">
        <v>147</v>
      </c>
      <c r="G427" s="7" t="s">
        <v>147</v>
      </c>
      <c r="H427" s="7" t="s">
        <v>147</v>
      </c>
      <c r="I427" s="7" t="s">
        <v>147</v>
      </c>
    </row>
    <row r="428" spans="1:9" ht="14.4" customHeight="1">
      <c r="A428" s="9">
        <v>3</v>
      </c>
      <c r="B428" s="111"/>
      <c r="C428" s="168" t="s">
        <v>349</v>
      </c>
      <c r="D428" s="169"/>
      <c r="E428" s="9">
        <v>36</v>
      </c>
      <c r="F428" s="7" t="s">
        <v>147</v>
      </c>
      <c r="G428" s="7" t="s">
        <v>147</v>
      </c>
      <c r="H428" s="7" t="s">
        <v>147</v>
      </c>
      <c r="I428" s="7" t="s">
        <v>147</v>
      </c>
    </row>
    <row r="429" spans="1:9" ht="14.4" customHeight="1">
      <c r="A429" s="9">
        <v>3</v>
      </c>
      <c r="B429" s="111"/>
      <c r="C429" s="168" t="s">
        <v>349</v>
      </c>
      <c r="D429" s="169"/>
      <c r="E429" s="9">
        <v>36</v>
      </c>
      <c r="F429" s="7" t="s">
        <v>147</v>
      </c>
      <c r="G429" s="7" t="s">
        <v>147</v>
      </c>
      <c r="H429" s="7" t="s">
        <v>147</v>
      </c>
      <c r="I429" s="7" t="s">
        <v>147</v>
      </c>
    </row>
    <row r="430" spans="1:9" ht="14.4" customHeight="1">
      <c r="A430" s="9">
        <v>3</v>
      </c>
      <c r="B430" s="111"/>
      <c r="C430" s="168" t="s">
        <v>349</v>
      </c>
      <c r="D430" s="169"/>
      <c r="E430" s="9">
        <v>36</v>
      </c>
      <c r="F430" s="7" t="s">
        <v>147</v>
      </c>
      <c r="G430" s="7" t="s">
        <v>147</v>
      </c>
      <c r="H430" s="7" t="s">
        <v>147</v>
      </c>
      <c r="I430" s="7" t="s">
        <v>147</v>
      </c>
    </row>
    <row r="431" spans="1:9" ht="14.4" customHeight="1">
      <c r="A431" s="9">
        <v>3</v>
      </c>
      <c r="B431" s="111"/>
      <c r="C431" s="168" t="s">
        <v>349</v>
      </c>
      <c r="D431" s="169"/>
      <c r="E431" s="9">
        <v>36</v>
      </c>
      <c r="F431" s="7" t="s">
        <v>147</v>
      </c>
      <c r="G431" s="7" t="s">
        <v>147</v>
      </c>
      <c r="H431" s="7" t="s">
        <v>147</v>
      </c>
      <c r="I431" s="7" t="s">
        <v>147</v>
      </c>
    </row>
    <row r="432" spans="1:9" ht="14.4" customHeight="1">
      <c r="A432" s="9">
        <v>3</v>
      </c>
      <c r="B432" s="111"/>
      <c r="C432" s="168" t="s">
        <v>349</v>
      </c>
      <c r="D432" s="169"/>
      <c r="E432" s="9">
        <v>36</v>
      </c>
      <c r="F432" s="7" t="s">
        <v>147</v>
      </c>
      <c r="G432" s="7" t="s">
        <v>147</v>
      </c>
      <c r="H432" s="7" t="s">
        <v>147</v>
      </c>
      <c r="I432" s="7" t="s">
        <v>147</v>
      </c>
    </row>
    <row r="433" spans="1:9" ht="14.4" customHeight="1">
      <c r="A433" s="9">
        <v>3</v>
      </c>
      <c r="B433" s="111"/>
      <c r="C433" s="168" t="s">
        <v>349</v>
      </c>
      <c r="D433" s="169"/>
      <c r="E433" s="9">
        <v>36</v>
      </c>
      <c r="F433" s="7" t="s">
        <v>147</v>
      </c>
      <c r="G433" s="7" t="s">
        <v>147</v>
      </c>
      <c r="H433" s="7" t="s">
        <v>147</v>
      </c>
      <c r="I433" s="7" t="s">
        <v>147</v>
      </c>
    </row>
    <row r="434" spans="1:9" ht="14.4" customHeight="1">
      <c r="A434" s="9">
        <v>3</v>
      </c>
      <c r="B434" s="111"/>
      <c r="C434" s="168" t="s">
        <v>349</v>
      </c>
      <c r="D434" s="169"/>
      <c r="E434" s="9">
        <v>36</v>
      </c>
      <c r="F434" s="7" t="s">
        <v>147</v>
      </c>
      <c r="G434" s="7" t="s">
        <v>147</v>
      </c>
      <c r="H434" s="7" t="s">
        <v>147</v>
      </c>
      <c r="I434" s="7" t="s">
        <v>147</v>
      </c>
    </row>
    <row r="435" spans="1:9" ht="14.4" customHeight="1">
      <c r="A435" s="9">
        <v>3</v>
      </c>
      <c r="B435" s="111"/>
      <c r="C435" s="168" t="s">
        <v>349</v>
      </c>
      <c r="D435" s="169"/>
      <c r="E435" s="9">
        <v>36</v>
      </c>
      <c r="F435" s="7" t="s">
        <v>147</v>
      </c>
      <c r="G435" s="7" t="s">
        <v>147</v>
      </c>
      <c r="H435" s="7" t="s">
        <v>147</v>
      </c>
      <c r="I435" s="7" t="s">
        <v>147</v>
      </c>
    </row>
    <row r="436" spans="1:9" ht="14.4" customHeight="1">
      <c r="A436" s="9">
        <v>3</v>
      </c>
      <c r="B436" s="111"/>
      <c r="C436" s="168" t="s">
        <v>349</v>
      </c>
      <c r="D436" s="169"/>
      <c r="E436" s="9">
        <v>36</v>
      </c>
      <c r="F436" s="7" t="s">
        <v>147</v>
      </c>
      <c r="G436" s="7" t="s">
        <v>147</v>
      </c>
      <c r="H436" s="7" t="s">
        <v>147</v>
      </c>
      <c r="I436" s="7" t="s">
        <v>147</v>
      </c>
    </row>
    <row r="437" spans="1:9" ht="14.4" customHeight="1">
      <c r="A437" s="9">
        <v>3</v>
      </c>
      <c r="B437" s="111"/>
      <c r="C437" s="168" t="s">
        <v>349</v>
      </c>
      <c r="D437" s="169"/>
      <c r="E437" s="9">
        <v>36</v>
      </c>
      <c r="F437" s="7" t="s">
        <v>147</v>
      </c>
      <c r="G437" s="7" t="s">
        <v>147</v>
      </c>
      <c r="H437" s="7" t="s">
        <v>147</v>
      </c>
      <c r="I437" s="7" t="s">
        <v>147</v>
      </c>
    </row>
    <row r="438" spans="1:9" ht="14.4" customHeight="1">
      <c r="A438" s="9">
        <v>3</v>
      </c>
      <c r="B438" s="111"/>
      <c r="C438" s="168" t="s">
        <v>349</v>
      </c>
      <c r="D438" s="169"/>
      <c r="E438" s="9">
        <v>36</v>
      </c>
      <c r="F438" s="7" t="s">
        <v>147</v>
      </c>
      <c r="G438" s="7" t="s">
        <v>147</v>
      </c>
      <c r="H438" s="7" t="s">
        <v>147</v>
      </c>
      <c r="I438" s="7" t="s">
        <v>147</v>
      </c>
    </row>
    <row r="439" spans="1:9" ht="14.4" customHeight="1">
      <c r="A439" s="9">
        <v>3</v>
      </c>
      <c r="B439" s="111"/>
      <c r="C439" s="168" t="s">
        <v>349</v>
      </c>
      <c r="D439" s="169"/>
      <c r="E439" s="9">
        <v>36</v>
      </c>
      <c r="F439" s="7" t="s">
        <v>147</v>
      </c>
      <c r="G439" s="7" t="s">
        <v>147</v>
      </c>
      <c r="H439" s="7" t="s">
        <v>147</v>
      </c>
      <c r="I439" s="7" t="s">
        <v>147</v>
      </c>
    </row>
    <row r="440" spans="1:9" ht="14.4" customHeight="1">
      <c r="A440" s="9">
        <v>3</v>
      </c>
      <c r="B440" s="111"/>
      <c r="C440" s="168" t="s">
        <v>349</v>
      </c>
      <c r="D440" s="169"/>
      <c r="E440" s="9">
        <v>36</v>
      </c>
      <c r="F440" s="7" t="s">
        <v>147</v>
      </c>
      <c r="G440" s="7" t="s">
        <v>147</v>
      </c>
      <c r="H440" s="7" t="s">
        <v>147</v>
      </c>
      <c r="I440" s="7" t="s">
        <v>147</v>
      </c>
    </row>
    <row r="441" spans="1:9" ht="14.4" customHeight="1">
      <c r="A441" s="9">
        <v>3</v>
      </c>
      <c r="B441" s="111"/>
      <c r="C441" s="168" t="s">
        <v>349</v>
      </c>
      <c r="D441" s="169"/>
      <c r="E441" s="9">
        <v>36</v>
      </c>
      <c r="F441" s="7" t="s">
        <v>147</v>
      </c>
      <c r="G441" s="7" t="s">
        <v>147</v>
      </c>
      <c r="H441" s="7" t="s">
        <v>147</v>
      </c>
      <c r="I441" s="7" t="s">
        <v>147</v>
      </c>
    </row>
    <row r="442" spans="1:9" ht="14.4" customHeight="1">
      <c r="A442" s="9">
        <v>3</v>
      </c>
      <c r="B442" s="111"/>
      <c r="C442" s="168" t="s">
        <v>349</v>
      </c>
      <c r="D442" s="169"/>
      <c r="E442" s="9">
        <v>36</v>
      </c>
      <c r="F442" s="7" t="s">
        <v>147</v>
      </c>
      <c r="G442" s="7" t="s">
        <v>147</v>
      </c>
      <c r="H442" s="7" t="s">
        <v>147</v>
      </c>
      <c r="I442" s="7" t="s">
        <v>147</v>
      </c>
    </row>
    <row r="443" spans="1:9" ht="14.4" customHeight="1">
      <c r="A443" s="9">
        <v>3</v>
      </c>
      <c r="B443" s="111"/>
      <c r="C443" s="168" t="s">
        <v>349</v>
      </c>
      <c r="D443" s="169"/>
      <c r="E443" s="9">
        <v>36</v>
      </c>
      <c r="F443" s="7" t="s">
        <v>147</v>
      </c>
      <c r="G443" s="7" t="s">
        <v>147</v>
      </c>
      <c r="H443" s="7" t="s">
        <v>147</v>
      </c>
      <c r="I443" s="7" t="s">
        <v>147</v>
      </c>
    </row>
    <row r="444" spans="1:9" ht="14.4" customHeight="1">
      <c r="A444" s="9">
        <v>3</v>
      </c>
      <c r="B444" s="111"/>
      <c r="C444" s="168" t="s">
        <v>349</v>
      </c>
      <c r="D444" s="169"/>
      <c r="E444" s="9">
        <v>36</v>
      </c>
      <c r="F444" s="7" t="s">
        <v>147</v>
      </c>
      <c r="G444" s="7" t="s">
        <v>147</v>
      </c>
      <c r="H444" s="7" t="s">
        <v>147</v>
      </c>
      <c r="I444" s="7" t="s">
        <v>147</v>
      </c>
    </row>
    <row r="445" spans="1:9" ht="14.4" customHeight="1">
      <c r="A445" s="9">
        <v>3</v>
      </c>
      <c r="B445" s="111"/>
      <c r="C445" s="168" t="s">
        <v>349</v>
      </c>
      <c r="D445" s="169"/>
      <c r="E445" s="9">
        <v>36</v>
      </c>
      <c r="F445" s="7" t="s">
        <v>147</v>
      </c>
      <c r="G445" s="7" t="s">
        <v>147</v>
      </c>
      <c r="H445" s="7" t="s">
        <v>147</v>
      </c>
      <c r="I445" s="7" t="s">
        <v>147</v>
      </c>
    </row>
    <row r="446" spans="1:9" ht="14.4" customHeight="1">
      <c r="A446" s="9">
        <v>3</v>
      </c>
      <c r="B446" s="111"/>
      <c r="C446" s="168" t="s">
        <v>349</v>
      </c>
      <c r="D446" s="169"/>
      <c r="E446" s="9">
        <v>36</v>
      </c>
      <c r="F446" s="7" t="s">
        <v>147</v>
      </c>
      <c r="G446" s="7" t="s">
        <v>147</v>
      </c>
      <c r="H446" s="7" t="s">
        <v>147</v>
      </c>
      <c r="I446" s="7" t="s">
        <v>147</v>
      </c>
    </row>
    <row r="447" spans="1:9" ht="14.4" customHeight="1">
      <c r="A447" s="9">
        <v>3</v>
      </c>
      <c r="B447" s="111"/>
      <c r="C447" s="168" t="s">
        <v>349</v>
      </c>
      <c r="D447" s="169"/>
      <c r="E447" s="9">
        <v>36</v>
      </c>
      <c r="F447" s="7" t="s">
        <v>147</v>
      </c>
      <c r="G447" s="7" t="s">
        <v>147</v>
      </c>
      <c r="H447" s="7" t="s">
        <v>147</v>
      </c>
      <c r="I447" s="7" t="s">
        <v>147</v>
      </c>
    </row>
    <row r="448" spans="1:9" ht="14.4" customHeight="1">
      <c r="A448" s="9">
        <v>3</v>
      </c>
      <c r="B448" s="111"/>
      <c r="C448" s="168" t="s">
        <v>349</v>
      </c>
      <c r="D448" s="169"/>
      <c r="E448" s="9">
        <v>36</v>
      </c>
      <c r="F448" s="7" t="s">
        <v>147</v>
      </c>
      <c r="G448" s="7" t="s">
        <v>147</v>
      </c>
      <c r="H448" s="7" t="s">
        <v>147</v>
      </c>
      <c r="I448" s="7" t="s">
        <v>147</v>
      </c>
    </row>
    <row r="449" spans="1:9" ht="14.4" customHeight="1">
      <c r="A449" s="9">
        <v>3</v>
      </c>
      <c r="B449" s="111"/>
      <c r="C449" s="168" t="s">
        <v>349</v>
      </c>
      <c r="D449" s="169"/>
      <c r="E449" s="9">
        <v>36</v>
      </c>
      <c r="F449" s="7" t="s">
        <v>147</v>
      </c>
      <c r="G449" s="7" t="s">
        <v>147</v>
      </c>
      <c r="H449" s="7" t="s">
        <v>147</v>
      </c>
      <c r="I449" s="7" t="s">
        <v>147</v>
      </c>
    </row>
    <row r="450" spans="1:9" ht="14.4" customHeight="1">
      <c r="A450" s="9">
        <v>3</v>
      </c>
      <c r="B450" s="111"/>
      <c r="C450" s="168" t="s">
        <v>349</v>
      </c>
      <c r="D450" s="169"/>
      <c r="E450" s="9">
        <v>36</v>
      </c>
      <c r="F450" s="7" t="s">
        <v>147</v>
      </c>
      <c r="G450" s="7" t="s">
        <v>147</v>
      </c>
      <c r="H450" s="7" t="s">
        <v>147</v>
      </c>
      <c r="I450" s="7" t="s">
        <v>147</v>
      </c>
    </row>
    <row r="451" spans="1:9" ht="14.4" customHeight="1">
      <c r="A451" s="9">
        <v>3</v>
      </c>
      <c r="B451" s="111"/>
      <c r="C451" s="168" t="s">
        <v>349</v>
      </c>
      <c r="D451" s="169"/>
      <c r="E451" s="9">
        <v>36</v>
      </c>
      <c r="F451" s="7" t="s">
        <v>147</v>
      </c>
      <c r="G451" s="7" t="s">
        <v>147</v>
      </c>
      <c r="H451" s="7" t="s">
        <v>147</v>
      </c>
      <c r="I451" s="7" t="s">
        <v>147</v>
      </c>
    </row>
    <row r="452" spans="1:9" ht="14.4" customHeight="1">
      <c r="A452" s="9">
        <v>3</v>
      </c>
      <c r="B452" s="111"/>
      <c r="C452" s="168" t="s">
        <v>349</v>
      </c>
      <c r="D452" s="169"/>
      <c r="E452" s="9">
        <v>36</v>
      </c>
      <c r="F452" s="7" t="s">
        <v>147</v>
      </c>
      <c r="G452" s="7" t="s">
        <v>147</v>
      </c>
      <c r="H452" s="7" t="s">
        <v>147</v>
      </c>
      <c r="I452" s="7" t="s">
        <v>147</v>
      </c>
    </row>
    <row r="453" spans="1:9" ht="14.4" customHeight="1">
      <c r="A453" s="9">
        <v>3</v>
      </c>
      <c r="B453" s="111"/>
      <c r="C453" s="168" t="s">
        <v>349</v>
      </c>
      <c r="D453" s="169"/>
      <c r="E453" s="9">
        <v>36</v>
      </c>
      <c r="F453" s="7" t="s">
        <v>147</v>
      </c>
      <c r="G453" s="7" t="s">
        <v>147</v>
      </c>
      <c r="H453" s="7" t="s">
        <v>147</v>
      </c>
      <c r="I453" s="7" t="s">
        <v>147</v>
      </c>
    </row>
    <row r="454" spans="1:9" ht="14.4" customHeight="1">
      <c r="A454" s="9">
        <v>3</v>
      </c>
      <c r="B454" s="111"/>
      <c r="C454" s="168" t="s">
        <v>349</v>
      </c>
      <c r="D454" s="169"/>
      <c r="E454" s="9">
        <v>36</v>
      </c>
      <c r="F454" s="7" t="s">
        <v>147</v>
      </c>
      <c r="G454" s="7" t="s">
        <v>147</v>
      </c>
      <c r="H454" s="7" t="s">
        <v>147</v>
      </c>
      <c r="I454" s="7" t="s">
        <v>147</v>
      </c>
    </row>
    <row r="455" spans="1:9" ht="14.4" customHeight="1">
      <c r="A455" s="9">
        <v>3</v>
      </c>
      <c r="B455" s="111"/>
      <c r="C455" s="168" t="s">
        <v>349</v>
      </c>
      <c r="D455" s="169"/>
      <c r="E455" s="9">
        <v>36</v>
      </c>
      <c r="F455" s="7" t="s">
        <v>147</v>
      </c>
      <c r="G455" s="7" t="s">
        <v>147</v>
      </c>
      <c r="H455" s="7" t="s">
        <v>147</v>
      </c>
      <c r="I455" s="7" t="s">
        <v>147</v>
      </c>
    </row>
    <row r="456" spans="1:9" ht="14.4" customHeight="1">
      <c r="A456" s="9">
        <v>3</v>
      </c>
      <c r="B456" s="111"/>
      <c r="C456" s="168" t="s">
        <v>349</v>
      </c>
      <c r="D456" s="169"/>
      <c r="E456" s="9">
        <v>36</v>
      </c>
      <c r="F456" s="7" t="s">
        <v>147</v>
      </c>
      <c r="G456" s="7" t="s">
        <v>147</v>
      </c>
      <c r="H456" s="7" t="s">
        <v>147</v>
      </c>
      <c r="I456" s="7" t="s">
        <v>147</v>
      </c>
    </row>
    <row r="457" spans="1:9" ht="14.4" customHeight="1">
      <c r="A457" s="9">
        <v>3</v>
      </c>
      <c r="B457" s="111"/>
      <c r="C457" s="168" t="s">
        <v>349</v>
      </c>
      <c r="D457" s="169"/>
      <c r="E457" s="9">
        <v>36</v>
      </c>
      <c r="F457" s="7" t="s">
        <v>147</v>
      </c>
      <c r="G457" s="7" t="s">
        <v>147</v>
      </c>
      <c r="H457" s="7" t="s">
        <v>147</v>
      </c>
      <c r="I457" s="7" t="s">
        <v>147</v>
      </c>
    </row>
    <row r="458" spans="1:9" ht="14.4" customHeight="1">
      <c r="A458" s="9">
        <v>3</v>
      </c>
      <c r="B458" s="111"/>
      <c r="C458" s="168" t="s">
        <v>349</v>
      </c>
      <c r="D458" s="169"/>
      <c r="E458" s="9">
        <v>36</v>
      </c>
      <c r="F458" s="7" t="s">
        <v>147</v>
      </c>
      <c r="G458" s="7" t="s">
        <v>147</v>
      </c>
      <c r="H458" s="7" t="s">
        <v>147</v>
      </c>
      <c r="I458" s="7" t="s">
        <v>147</v>
      </c>
    </row>
    <row r="459" spans="1:9" ht="14.4" customHeight="1">
      <c r="A459" s="9">
        <v>3</v>
      </c>
      <c r="B459" s="111"/>
      <c r="C459" s="168" t="s">
        <v>349</v>
      </c>
      <c r="D459" s="169"/>
      <c r="E459" s="9">
        <v>36</v>
      </c>
      <c r="F459" s="7" t="s">
        <v>147</v>
      </c>
      <c r="G459" s="7" t="s">
        <v>147</v>
      </c>
      <c r="H459" s="7" t="s">
        <v>147</v>
      </c>
      <c r="I459" s="7" t="s">
        <v>147</v>
      </c>
    </row>
    <row r="460" spans="1:9" ht="14.4" customHeight="1">
      <c r="A460" s="9">
        <v>3</v>
      </c>
      <c r="B460" s="111"/>
      <c r="C460" s="168" t="s">
        <v>349</v>
      </c>
      <c r="D460" s="169"/>
      <c r="E460" s="9">
        <v>36</v>
      </c>
      <c r="F460" s="7" t="s">
        <v>147</v>
      </c>
      <c r="G460" s="7" t="s">
        <v>147</v>
      </c>
      <c r="H460" s="7" t="s">
        <v>147</v>
      </c>
      <c r="I460" s="7" t="s">
        <v>147</v>
      </c>
    </row>
    <row r="461" spans="1:9" ht="14.4" customHeight="1">
      <c r="A461" s="9">
        <v>3</v>
      </c>
      <c r="B461" s="111"/>
      <c r="C461" s="168" t="s">
        <v>349</v>
      </c>
      <c r="D461" s="169"/>
      <c r="E461" s="9">
        <v>36</v>
      </c>
      <c r="F461" s="7" t="s">
        <v>147</v>
      </c>
      <c r="G461" s="7" t="s">
        <v>147</v>
      </c>
      <c r="H461" s="7" t="s">
        <v>147</v>
      </c>
      <c r="I461" s="7" t="s">
        <v>147</v>
      </c>
    </row>
    <row r="462" spans="1:9" ht="14.4" customHeight="1">
      <c r="A462" s="9">
        <v>3</v>
      </c>
      <c r="B462" s="111"/>
      <c r="C462" s="168" t="s">
        <v>349</v>
      </c>
      <c r="D462" s="169"/>
      <c r="E462" s="9">
        <v>36</v>
      </c>
      <c r="F462" s="7" t="s">
        <v>147</v>
      </c>
      <c r="G462" s="7" t="s">
        <v>147</v>
      </c>
      <c r="H462" s="7" t="s">
        <v>147</v>
      </c>
      <c r="I462" s="7" t="s">
        <v>147</v>
      </c>
    </row>
    <row r="463" spans="1:9" ht="14.4" customHeight="1">
      <c r="A463" s="9">
        <v>3</v>
      </c>
      <c r="B463" s="111"/>
      <c r="C463" s="168" t="s">
        <v>349</v>
      </c>
      <c r="D463" s="169"/>
      <c r="E463" s="9">
        <v>36</v>
      </c>
      <c r="F463" s="7" t="s">
        <v>147</v>
      </c>
      <c r="G463" s="7" t="s">
        <v>147</v>
      </c>
      <c r="H463" s="7" t="s">
        <v>147</v>
      </c>
      <c r="I463" s="7" t="s">
        <v>147</v>
      </c>
    </row>
    <row r="464" spans="1:9" ht="14.4" customHeight="1">
      <c r="A464" s="9">
        <v>3</v>
      </c>
      <c r="B464" s="111"/>
      <c r="C464" s="168" t="s">
        <v>349</v>
      </c>
      <c r="D464" s="169"/>
      <c r="E464" s="9">
        <v>36</v>
      </c>
      <c r="F464" s="7" t="s">
        <v>147</v>
      </c>
      <c r="G464" s="7" t="s">
        <v>147</v>
      </c>
      <c r="H464" s="7" t="s">
        <v>147</v>
      </c>
      <c r="I464" s="7" t="s">
        <v>147</v>
      </c>
    </row>
    <row r="465" spans="1:9" ht="14.4" customHeight="1">
      <c r="A465" s="9">
        <v>3</v>
      </c>
      <c r="B465" s="111"/>
      <c r="C465" s="168" t="s">
        <v>349</v>
      </c>
      <c r="D465" s="169"/>
      <c r="E465" s="9">
        <v>36</v>
      </c>
      <c r="F465" s="7" t="s">
        <v>147</v>
      </c>
      <c r="G465" s="7" t="s">
        <v>147</v>
      </c>
      <c r="H465" s="7" t="s">
        <v>147</v>
      </c>
      <c r="I465" s="7" t="s">
        <v>147</v>
      </c>
    </row>
    <row r="466" spans="1:9" ht="14.4" customHeight="1">
      <c r="A466" s="9">
        <v>3</v>
      </c>
      <c r="B466" s="111"/>
      <c r="C466" s="168" t="s">
        <v>349</v>
      </c>
      <c r="D466" s="169"/>
      <c r="E466" s="9">
        <v>36</v>
      </c>
      <c r="F466" s="7" t="s">
        <v>147</v>
      </c>
      <c r="G466" s="7" t="s">
        <v>147</v>
      </c>
      <c r="H466" s="7" t="s">
        <v>147</v>
      </c>
      <c r="I466" s="7" t="s">
        <v>147</v>
      </c>
    </row>
    <row r="467" spans="1:9" ht="14.4" customHeight="1">
      <c r="A467" s="9">
        <v>3</v>
      </c>
      <c r="B467" s="111"/>
      <c r="C467" s="168" t="s">
        <v>349</v>
      </c>
      <c r="D467" s="169"/>
      <c r="E467" s="9">
        <v>36</v>
      </c>
      <c r="F467" s="7" t="s">
        <v>147</v>
      </c>
      <c r="G467" s="7" t="s">
        <v>147</v>
      </c>
      <c r="H467" s="7" t="s">
        <v>147</v>
      </c>
      <c r="I467" s="7" t="s">
        <v>147</v>
      </c>
    </row>
    <row r="468" spans="1:9" ht="14.4" customHeight="1">
      <c r="A468" s="9">
        <v>3</v>
      </c>
      <c r="B468" s="111"/>
      <c r="C468" s="168" t="s">
        <v>349</v>
      </c>
      <c r="D468" s="169"/>
      <c r="E468" s="9">
        <v>36</v>
      </c>
      <c r="F468" s="7" t="s">
        <v>147</v>
      </c>
      <c r="G468" s="7" t="s">
        <v>147</v>
      </c>
      <c r="H468" s="7" t="s">
        <v>147</v>
      </c>
      <c r="I468" s="7" t="s">
        <v>147</v>
      </c>
    </row>
    <row r="469" spans="1:9" ht="14.4" customHeight="1">
      <c r="A469" s="9">
        <v>3</v>
      </c>
      <c r="B469" s="111"/>
      <c r="C469" s="168" t="s">
        <v>349</v>
      </c>
      <c r="D469" s="169"/>
      <c r="E469" s="9">
        <v>36</v>
      </c>
      <c r="F469" s="7" t="s">
        <v>147</v>
      </c>
      <c r="G469" s="7" t="s">
        <v>147</v>
      </c>
      <c r="H469" s="7" t="s">
        <v>147</v>
      </c>
      <c r="I469" s="7" t="s">
        <v>147</v>
      </c>
    </row>
    <row r="470" spans="1:9" ht="14.4" customHeight="1">
      <c r="A470" s="9">
        <v>3</v>
      </c>
      <c r="B470" s="111"/>
      <c r="C470" s="168" t="s">
        <v>349</v>
      </c>
      <c r="D470" s="169"/>
      <c r="E470" s="9">
        <v>36</v>
      </c>
      <c r="F470" s="7" t="s">
        <v>147</v>
      </c>
      <c r="G470" s="7" t="s">
        <v>147</v>
      </c>
      <c r="H470" s="7" t="s">
        <v>147</v>
      </c>
      <c r="I470" s="7" t="s">
        <v>147</v>
      </c>
    </row>
    <row r="471" spans="1:9" ht="14.4" customHeight="1">
      <c r="A471" s="9">
        <v>3</v>
      </c>
      <c r="B471" s="111"/>
      <c r="C471" s="168" t="s">
        <v>349</v>
      </c>
      <c r="D471" s="169"/>
      <c r="E471" s="9">
        <v>36</v>
      </c>
      <c r="F471" s="7" t="s">
        <v>147</v>
      </c>
      <c r="G471" s="7" t="s">
        <v>147</v>
      </c>
      <c r="H471" s="7" t="s">
        <v>147</v>
      </c>
      <c r="I471" s="7" t="s">
        <v>147</v>
      </c>
    </row>
    <row r="472" spans="1:9" ht="14.4" customHeight="1">
      <c r="A472" s="9">
        <v>3</v>
      </c>
      <c r="B472" s="111"/>
      <c r="C472" s="168" t="s">
        <v>349</v>
      </c>
      <c r="D472" s="169"/>
      <c r="E472" s="9">
        <v>36</v>
      </c>
      <c r="F472" s="7" t="s">
        <v>147</v>
      </c>
      <c r="G472" s="7" t="s">
        <v>147</v>
      </c>
      <c r="H472" s="7" t="s">
        <v>147</v>
      </c>
      <c r="I472" s="7" t="s">
        <v>147</v>
      </c>
    </row>
    <row r="473" spans="1:9" ht="14.4" customHeight="1">
      <c r="A473" s="9">
        <v>3</v>
      </c>
      <c r="B473" s="111"/>
      <c r="C473" s="168" t="s">
        <v>349</v>
      </c>
      <c r="D473" s="169"/>
      <c r="E473" s="9">
        <v>36</v>
      </c>
      <c r="F473" s="7" t="s">
        <v>147</v>
      </c>
      <c r="G473" s="7" t="s">
        <v>147</v>
      </c>
      <c r="H473" s="7" t="s">
        <v>147</v>
      </c>
      <c r="I473" s="7" t="s">
        <v>147</v>
      </c>
    </row>
    <row r="474" spans="1:9" ht="14.4" customHeight="1">
      <c r="A474" s="9">
        <v>3</v>
      </c>
      <c r="B474" s="111"/>
      <c r="C474" s="168" t="s">
        <v>349</v>
      </c>
      <c r="D474" s="169"/>
      <c r="E474" s="9">
        <v>36</v>
      </c>
      <c r="F474" s="7" t="s">
        <v>147</v>
      </c>
      <c r="G474" s="7" t="s">
        <v>147</v>
      </c>
      <c r="H474" s="7" t="s">
        <v>147</v>
      </c>
      <c r="I474" s="7" t="s">
        <v>147</v>
      </c>
    </row>
    <row r="475" spans="1:9" ht="14.4" customHeight="1">
      <c r="A475" s="9">
        <v>3</v>
      </c>
      <c r="B475" s="111"/>
      <c r="C475" s="168" t="s">
        <v>349</v>
      </c>
      <c r="D475" s="169"/>
      <c r="E475" s="9">
        <v>36</v>
      </c>
      <c r="F475" s="7" t="s">
        <v>147</v>
      </c>
      <c r="G475" s="7" t="s">
        <v>147</v>
      </c>
      <c r="H475" s="7" t="s">
        <v>147</v>
      </c>
      <c r="I475" s="7" t="s">
        <v>147</v>
      </c>
    </row>
    <row r="476" spans="1:9" ht="14.4" customHeight="1">
      <c r="A476" s="9">
        <v>3</v>
      </c>
      <c r="B476" s="111"/>
      <c r="C476" s="168" t="s">
        <v>349</v>
      </c>
      <c r="D476" s="169"/>
      <c r="E476" s="9">
        <v>36</v>
      </c>
      <c r="F476" s="7" t="s">
        <v>147</v>
      </c>
      <c r="G476" s="7" t="s">
        <v>147</v>
      </c>
      <c r="H476" s="7" t="s">
        <v>147</v>
      </c>
      <c r="I476" s="7" t="s">
        <v>147</v>
      </c>
    </row>
    <row r="477" spans="1:9" ht="14.4" customHeight="1">
      <c r="A477" s="9">
        <v>3</v>
      </c>
      <c r="B477" s="111"/>
      <c r="C477" s="168" t="s">
        <v>349</v>
      </c>
      <c r="D477" s="169"/>
      <c r="E477" s="9">
        <v>36</v>
      </c>
      <c r="F477" s="7" t="s">
        <v>147</v>
      </c>
      <c r="G477" s="7" t="s">
        <v>147</v>
      </c>
      <c r="H477" s="7" t="s">
        <v>147</v>
      </c>
      <c r="I477" s="7" t="s">
        <v>147</v>
      </c>
    </row>
    <row r="478" spans="1:9" ht="14.4" customHeight="1">
      <c r="A478" s="9">
        <v>3</v>
      </c>
      <c r="B478" s="111"/>
      <c r="C478" s="168" t="s">
        <v>349</v>
      </c>
      <c r="D478" s="169"/>
      <c r="E478" s="9">
        <v>36</v>
      </c>
      <c r="F478" s="7" t="s">
        <v>147</v>
      </c>
      <c r="G478" s="7" t="s">
        <v>147</v>
      </c>
      <c r="H478" s="7" t="s">
        <v>147</v>
      </c>
      <c r="I478" s="7" t="s">
        <v>147</v>
      </c>
    </row>
    <row r="479" spans="1:9" ht="14.4" customHeight="1">
      <c r="A479" s="9">
        <v>3</v>
      </c>
      <c r="B479" s="111"/>
      <c r="C479" s="168" t="s">
        <v>349</v>
      </c>
      <c r="D479" s="169"/>
      <c r="E479" s="9">
        <v>36</v>
      </c>
      <c r="F479" s="7" t="s">
        <v>147</v>
      </c>
      <c r="G479" s="7" t="s">
        <v>147</v>
      </c>
      <c r="H479" s="7" t="s">
        <v>147</v>
      </c>
      <c r="I479" s="7" t="s">
        <v>147</v>
      </c>
    </row>
    <row r="480" spans="1:9" ht="14.4" customHeight="1">
      <c r="A480" s="9">
        <v>3</v>
      </c>
      <c r="B480" s="111"/>
      <c r="C480" s="168" t="s">
        <v>349</v>
      </c>
      <c r="D480" s="169"/>
      <c r="E480" s="9">
        <v>36</v>
      </c>
      <c r="F480" s="7" t="s">
        <v>147</v>
      </c>
      <c r="G480" s="7" t="s">
        <v>147</v>
      </c>
      <c r="H480" s="7" t="s">
        <v>147</v>
      </c>
      <c r="I480" s="7" t="s">
        <v>147</v>
      </c>
    </row>
    <row r="481" spans="1:9" ht="14.4" customHeight="1">
      <c r="A481" s="9">
        <v>3</v>
      </c>
      <c r="B481" s="111"/>
      <c r="C481" s="168" t="s">
        <v>349</v>
      </c>
      <c r="D481" s="169"/>
      <c r="E481" s="9">
        <v>36</v>
      </c>
      <c r="F481" s="7" t="s">
        <v>147</v>
      </c>
      <c r="G481" s="7" t="s">
        <v>147</v>
      </c>
      <c r="H481" s="7" t="s">
        <v>147</v>
      </c>
      <c r="I481" s="7" t="s">
        <v>147</v>
      </c>
    </row>
    <row r="482" spans="1:9" ht="14.4" customHeight="1">
      <c r="A482" s="9">
        <v>3</v>
      </c>
      <c r="B482" s="111"/>
      <c r="C482" s="168" t="s">
        <v>349</v>
      </c>
      <c r="D482" s="169"/>
      <c r="E482" s="9">
        <v>36</v>
      </c>
      <c r="F482" s="7" t="s">
        <v>147</v>
      </c>
      <c r="G482" s="7" t="s">
        <v>147</v>
      </c>
      <c r="H482" s="7" t="s">
        <v>147</v>
      </c>
      <c r="I482" s="7" t="s">
        <v>147</v>
      </c>
    </row>
    <row r="483" spans="1:9" ht="14.4" customHeight="1">
      <c r="A483" s="9">
        <v>3</v>
      </c>
      <c r="B483" s="111"/>
      <c r="C483" s="168" t="s">
        <v>349</v>
      </c>
      <c r="D483" s="169"/>
      <c r="E483" s="9">
        <v>36</v>
      </c>
      <c r="F483" s="7" t="s">
        <v>147</v>
      </c>
      <c r="G483" s="7" t="s">
        <v>147</v>
      </c>
      <c r="H483" s="7" t="s">
        <v>147</v>
      </c>
      <c r="I483" s="7" t="s">
        <v>147</v>
      </c>
    </row>
    <row r="484" spans="1:9" ht="14.4" customHeight="1">
      <c r="A484" s="9">
        <v>3</v>
      </c>
      <c r="B484" s="111"/>
      <c r="C484" s="168" t="s">
        <v>349</v>
      </c>
      <c r="D484" s="169"/>
      <c r="E484" s="9">
        <v>36</v>
      </c>
      <c r="F484" s="7" t="s">
        <v>147</v>
      </c>
      <c r="G484" s="7" t="s">
        <v>147</v>
      </c>
      <c r="H484" s="7" t="s">
        <v>147</v>
      </c>
      <c r="I484" s="7" t="s">
        <v>147</v>
      </c>
    </row>
    <row r="485" spans="1:9" ht="14.4" customHeight="1">
      <c r="A485" s="9">
        <v>3</v>
      </c>
      <c r="B485" s="111"/>
      <c r="C485" s="168" t="s">
        <v>349</v>
      </c>
      <c r="D485" s="169"/>
      <c r="E485" s="9">
        <v>36</v>
      </c>
      <c r="F485" s="7" t="s">
        <v>147</v>
      </c>
      <c r="G485" s="7" t="s">
        <v>147</v>
      </c>
      <c r="H485" s="7" t="s">
        <v>147</v>
      </c>
      <c r="I485" s="7" t="s">
        <v>147</v>
      </c>
    </row>
    <row r="486" spans="1:9" ht="14.4" customHeight="1">
      <c r="A486" s="9">
        <v>3</v>
      </c>
      <c r="B486" s="111"/>
      <c r="C486" s="168" t="s">
        <v>349</v>
      </c>
      <c r="D486" s="169"/>
      <c r="E486" s="9">
        <v>36</v>
      </c>
      <c r="F486" s="7" t="s">
        <v>147</v>
      </c>
      <c r="G486" s="7" t="s">
        <v>147</v>
      </c>
      <c r="H486" s="7" t="s">
        <v>147</v>
      </c>
      <c r="I486" s="7" t="s">
        <v>147</v>
      </c>
    </row>
    <row r="487" spans="1:9" ht="14.4" customHeight="1">
      <c r="A487" s="9">
        <v>3</v>
      </c>
      <c r="B487" s="111"/>
      <c r="C487" s="168" t="s">
        <v>349</v>
      </c>
      <c r="D487" s="169"/>
      <c r="E487" s="9">
        <v>36</v>
      </c>
      <c r="F487" s="7" t="s">
        <v>147</v>
      </c>
      <c r="G487" s="7" t="s">
        <v>147</v>
      </c>
      <c r="H487" s="7" t="s">
        <v>147</v>
      </c>
      <c r="I487" s="7" t="s">
        <v>147</v>
      </c>
    </row>
    <row r="488" spans="1:9" ht="14.4" customHeight="1">
      <c r="A488" s="9">
        <v>3</v>
      </c>
      <c r="B488" s="111"/>
      <c r="C488" s="168" t="s">
        <v>349</v>
      </c>
      <c r="D488" s="169"/>
      <c r="E488" s="9">
        <v>36</v>
      </c>
      <c r="F488" s="7" t="s">
        <v>147</v>
      </c>
      <c r="G488" s="7" t="s">
        <v>147</v>
      </c>
      <c r="H488" s="7" t="s">
        <v>147</v>
      </c>
      <c r="I488" s="7" t="s">
        <v>147</v>
      </c>
    </row>
    <row r="489" spans="1:9" ht="14.4" customHeight="1">
      <c r="A489" s="9">
        <v>3</v>
      </c>
      <c r="B489" s="111"/>
      <c r="C489" s="168" t="s">
        <v>349</v>
      </c>
      <c r="D489" s="169"/>
      <c r="E489" s="9">
        <v>36</v>
      </c>
      <c r="F489" s="7" t="s">
        <v>147</v>
      </c>
      <c r="G489" s="7" t="s">
        <v>147</v>
      </c>
      <c r="H489" s="7" t="s">
        <v>147</v>
      </c>
      <c r="I489" s="7" t="s">
        <v>147</v>
      </c>
    </row>
    <row r="490" spans="1:9" ht="14.4" customHeight="1">
      <c r="A490" s="9">
        <v>3</v>
      </c>
      <c r="B490" s="111"/>
      <c r="C490" s="168" t="s">
        <v>349</v>
      </c>
      <c r="D490" s="169"/>
      <c r="E490" s="9">
        <v>36</v>
      </c>
      <c r="F490" s="7" t="s">
        <v>147</v>
      </c>
      <c r="G490" s="7" t="s">
        <v>147</v>
      </c>
      <c r="H490" s="7" t="s">
        <v>147</v>
      </c>
      <c r="I490" s="7" t="s">
        <v>147</v>
      </c>
    </row>
    <row r="491" spans="1:9" ht="14.4" customHeight="1">
      <c r="A491" s="9">
        <v>3</v>
      </c>
      <c r="B491" s="111"/>
      <c r="C491" s="168" t="s">
        <v>349</v>
      </c>
      <c r="D491" s="169"/>
      <c r="E491" s="9">
        <v>36</v>
      </c>
      <c r="F491" s="7" t="s">
        <v>147</v>
      </c>
      <c r="G491" s="7" t="s">
        <v>147</v>
      </c>
      <c r="H491" s="7" t="s">
        <v>147</v>
      </c>
      <c r="I491" s="7" t="s">
        <v>147</v>
      </c>
    </row>
    <row r="492" spans="1:9" ht="14.4" customHeight="1">
      <c r="A492" s="9">
        <v>3</v>
      </c>
      <c r="B492" s="111"/>
      <c r="C492" s="168" t="s">
        <v>349</v>
      </c>
      <c r="D492" s="169"/>
      <c r="E492" s="9">
        <v>36</v>
      </c>
      <c r="F492" s="7" t="s">
        <v>147</v>
      </c>
      <c r="G492" s="7" t="s">
        <v>147</v>
      </c>
      <c r="H492" s="7" t="s">
        <v>147</v>
      </c>
      <c r="I492" s="7" t="s">
        <v>147</v>
      </c>
    </row>
    <row r="493" spans="1:9" ht="14.4" customHeight="1">
      <c r="A493" s="9">
        <v>3</v>
      </c>
      <c r="B493" s="111"/>
      <c r="C493" s="168" t="s">
        <v>349</v>
      </c>
      <c r="D493" s="169"/>
      <c r="E493" s="9">
        <v>36</v>
      </c>
      <c r="F493" s="7" t="s">
        <v>147</v>
      </c>
      <c r="G493" s="7" t="s">
        <v>147</v>
      </c>
      <c r="H493" s="7" t="s">
        <v>147</v>
      </c>
      <c r="I493" s="7" t="s">
        <v>147</v>
      </c>
    </row>
    <row r="494" spans="1:9" ht="14.4" customHeight="1">
      <c r="A494" s="9">
        <v>3</v>
      </c>
      <c r="B494" s="111"/>
      <c r="C494" s="168" t="s">
        <v>349</v>
      </c>
      <c r="D494" s="169"/>
      <c r="E494" s="9">
        <v>36</v>
      </c>
      <c r="F494" s="7" t="s">
        <v>147</v>
      </c>
      <c r="G494" s="7" t="s">
        <v>147</v>
      </c>
      <c r="H494" s="7" t="s">
        <v>147</v>
      </c>
      <c r="I494" s="7" t="s">
        <v>147</v>
      </c>
    </row>
    <row r="495" spans="1:9" ht="14.4" customHeight="1">
      <c r="A495" s="9">
        <v>3</v>
      </c>
      <c r="B495" s="111"/>
      <c r="C495" s="168" t="s">
        <v>349</v>
      </c>
      <c r="D495" s="169"/>
      <c r="E495" s="9">
        <v>36</v>
      </c>
      <c r="F495" s="7" t="s">
        <v>147</v>
      </c>
      <c r="G495" s="7" t="s">
        <v>147</v>
      </c>
      <c r="H495" s="7" t="s">
        <v>147</v>
      </c>
      <c r="I495" s="7" t="s">
        <v>147</v>
      </c>
    </row>
    <row r="496" spans="1:9" ht="14.4" customHeight="1">
      <c r="A496" s="9">
        <v>3</v>
      </c>
      <c r="B496" s="111"/>
      <c r="C496" s="168" t="s">
        <v>349</v>
      </c>
      <c r="D496" s="169"/>
      <c r="E496" s="9">
        <v>36</v>
      </c>
      <c r="F496" s="7" t="s">
        <v>147</v>
      </c>
      <c r="G496" s="7" t="s">
        <v>147</v>
      </c>
      <c r="H496" s="7" t="s">
        <v>147</v>
      </c>
      <c r="I496" s="7" t="s">
        <v>147</v>
      </c>
    </row>
    <row r="497" spans="1:9" ht="14.4" customHeight="1">
      <c r="A497" s="9">
        <v>3</v>
      </c>
      <c r="B497" s="111"/>
      <c r="C497" s="168" t="s">
        <v>349</v>
      </c>
      <c r="D497" s="169"/>
      <c r="E497" s="9">
        <v>36</v>
      </c>
      <c r="F497" s="7" t="s">
        <v>147</v>
      </c>
      <c r="G497" s="7" t="s">
        <v>147</v>
      </c>
      <c r="H497" s="7" t="s">
        <v>147</v>
      </c>
      <c r="I497" s="7" t="s">
        <v>147</v>
      </c>
    </row>
    <row r="498" spans="1:9" ht="14.4" customHeight="1">
      <c r="A498" s="9">
        <v>3</v>
      </c>
      <c r="B498" s="111"/>
      <c r="C498" s="168" t="s">
        <v>349</v>
      </c>
      <c r="D498" s="169"/>
      <c r="E498" s="9">
        <v>36</v>
      </c>
      <c r="F498" s="7" t="s">
        <v>147</v>
      </c>
      <c r="G498" s="7" t="s">
        <v>147</v>
      </c>
      <c r="H498" s="7" t="s">
        <v>147</v>
      </c>
      <c r="I498" s="7" t="s">
        <v>147</v>
      </c>
    </row>
    <row r="499" spans="1:9" ht="14.4" customHeight="1">
      <c r="A499" s="9">
        <v>3</v>
      </c>
      <c r="B499" s="111"/>
      <c r="C499" s="168" t="s">
        <v>349</v>
      </c>
      <c r="D499" s="169"/>
      <c r="E499" s="9">
        <v>36</v>
      </c>
      <c r="F499" s="7" t="s">
        <v>147</v>
      </c>
      <c r="G499" s="7" t="s">
        <v>147</v>
      </c>
      <c r="H499" s="7" t="s">
        <v>147</v>
      </c>
      <c r="I499" s="7" t="s">
        <v>147</v>
      </c>
    </row>
    <row r="500" spans="1:9" ht="14.4" customHeight="1">
      <c r="A500" s="9">
        <v>3</v>
      </c>
      <c r="B500" s="111"/>
      <c r="C500" s="168" t="s">
        <v>349</v>
      </c>
      <c r="D500" s="169"/>
      <c r="E500" s="9">
        <v>36</v>
      </c>
      <c r="F500" s="7" t="s">
        <v>147</v>
      </c>
      <c r="G500" s="7" t="s">
        <v>147</v>
      </c>
      <c r="H500" s="7" t="s">
        <v>147</v>
      </c>
      <c r="I500" s="7" t="s">
        <v>147</v>
      </c>
    </row>
    <row r="501" spans="1:9" ht="14.4" customHeight="1">
      <c r="A501" s="9">
        <v>3</v>
      </c>
      <c r="B501" s="111"/>
      <c r="C501" s="168" t="s">
        <v>349</v>
      </c>
      <c r="D501" s="169"/>
      <c r="E501" s="9">
        <v>36</v>
      </c>
      <c r="F501" s="7" t="s">
        <v>147</v>
      </c>
      <c r="G501" s="7" t="s">
        <v>147</v>
      </c>
      <c r="H501" s="7" t="s">
        <v>147</v>
      </c>
      <c r="I501" s="7" t="s">
        <v>147</v>
      </c>
    </row>
    <row r="502" spans="1:9" ht="14.4" customHeight="1">
      <c r="A502" s="9">
        <v>3</v>
      </c>
      <c r="B502" s="111"/>
      <c r="C502" s="168" t="s">
        <v>349</v>
      </c>
      <c r="D502" s="169"/>
      <c r="E502" s="9">
        <v>36</v>
      </c>
      <c r="F502" s="7" t="s">
        <v>147</v>
      </c>
      <c r="G502" s="7" t="s">
        <v>147</v>
      </c>
      <c r="H502" s="7" t="s">
        <v>147</v>
      </c>
      <c r="I502" s="7" t="s">
        <v>147</v>
      </c>
    </row>
    <row r="503" spans="1:9" ht="14.4" customHeight="1">
      <c r="A503" s="9">
        <v>3</v>
      </c>
      <c r="B503" s="111"/>
      <c r="C503" s="168" t="s">
        <v>349</v>
      </c>
      <c r="D503" s="169"/>
      <c r="E503" s="9">
        <v>36</v>
      </c>
      <c r="F503" s="7" t="s">
        <v>147</v>
      </c>
      <c r="G503" s="7" t="s">
        <v>147</v>
      </c>
      <c r="H503" s="7" t="s">
        <v>147</v>
      </c>
      <c r="I503" s="7" t="s">
        <v>147</v>
      </c>
    </row>
    <row r="504" spans="1:9" ht="14.4" customHeight="1">
      <c r="A504" s="9">
        <v>3</v>
      </c>
      <c r="B504" s="111"/>
      <c r="C504" s="168" t="s">
        <v>349</v>
      </c>
      <c r="D504" s="169"/>
      <c r="E504" s="9">
        <v>36</v>
      </c>
      <c r="F504" s="7" t="s">
        <v>147</v>
      </c>
      <c r="G504" s="7" t="s">
        <v>147</v>
      </c>
      <c r="H504" s="7" t="s">
        <v>147</v>
      </c>
      <c r="I504" s="7" t="s">
        <v>147</v>
      </c>
    </row>
    <row r="505" spans="1:9" ht="14.4" customHeight="1">
      <c r="A505" s="9">
        <v>3</v>
      </c>
      <c r="B505" s="111"/>
      <c r="C505" s="168" t="s">
        <v>349</v>
      </c>
      <c r="D505" s="169"/>
      <c r="E505" s="9">
        <v>36</v>
      </c>
      <c r="F505" s="7" t="s">
        <v>147</v>
      </c>
      <c r="G505" s="7" t="s">
        <v>147</v>
      </c>
      <c r="H505" s="7" t="s">
        <v>147</v>
      </c>
      <c r="I505" s="7" t="s">
        <v>147</v>
      </c>
    </row>
    <row r="506" spans="1:9" ht="14.4" customHeight="1">
      <c r="A506" s="9">
        <v>3</v>
      </c>
      <c r="B506" s="111"/>
      <c r="C506" s="168" t="s">
        <v>349</v>
      </c>
      <c r="D506" s="169"/>
      <c r="E506" s="9">
        <v>36</v>
      </c>
      <c r="F506" s="7" t="s">
        <v>147</v>
      </c>
      <c r="G506" s="7" t="s">
        <v>147</v>
      </c>
      <c r="H506" s="7" t="s">
        <v>147</v>
      </c>
      <c r="I506" s="7" t="s">
        <v>147</v>
      </c>
    </row>
    <row r="507" spans="1:9" ht="14.4" customHeight="1">
      <c r="A507" s="9">
        <v>3</v>
      </c>
      <c r="B507" s="111"/>
      <c r="C507" s="168" t="s">
        <v>349</v>
      </c>
      <c r="D507" s="169"/>
      <c r="E507" s="9">
        <v>36</v>
      </c>
      <c r="F507" s="7" t="s">
        <v>147</v>
      </c>
      <c r="G507" s="7" t="s">
        <v>147</v>
      </c>
      <c r="H507" s="7" t="s">
        <v>147</v>
      </c>
      <c r="I507" s="7" t="s">
        <v>147</v>
      </c>
    </row>
    <row r="508" spans="1:9" ht="14.4" customHeight="1">
      <c r="A508" s="9">
        <v>3</v>
      </c>
      <c r="B508" s="111"/>
      <c r="C508" s="168" t="s">
        <v>349</v>
      </c>
      <c r="D508" s="169"/>
      <c r="E508" s="9">
        <v>36</v>
      </c>
      <c r="F508" s="7" t="s">
        <v>147</v>
      </c>
      <c r="G508" s="7" t="s">
        <v>147</v>
      </c>
      <c r="H508" s="7" t="s">
        <v>147</v>
      </c>
      <c r="I508" s="7" t="s">
        <v>147</v>
      </c>
    </row>
    <row r="509" spans="1:9" ht="14.4" customHeight="1">
      <c r="A509" s="9">
        <v>3</v>
      </c>
      <c r="B509" s="111"/>
      <c r="C509" s="168" t="s">
        <v>349</v>
      </c>
      <c r="D509" s="169"/>
      <c r="E509" s="9">
        <v>36</v>
      </c>
      <c r="F509" s="7" t="s">
        <v>147</v>
      </c>
      <c r="G509" s="7" t="s">
        <v>147</v>
      </c>
      <c r="H509" s="7" t="s">
        <v>147</v>
      </c>
      <c r="I509" s="7" t="s">
        <v>147</v>
      </c>
    </row>
    <row r="510" spans="1:9" ht="14.4" customHeight="1">
      <c r="A510" s="9">
        <v>3</v>
      </c>
      <c r="B510" s="111"/>
      <c r="C510" s="168" t="s">
        <v>349</v>
      </c>
      <c r="D510" s="169"/>
      <c r="E510" s="9">
        <v>36</v>
      </c>
      <c r="F510" s="7" t="s">
        <v>147</v>
      </c>
      <c r="G510" s="7" t="s">
        <v>147</v>
      </c>
      <c r="H510" s="7" t="s">
        <v>147</v>
      </c>
      <c r="I510" s="7" t="s">
        <v>147</v>
      </c>
    </row>
    <row r="511" spans="1:9" ht="14.4" customHeight="1">
      <c r="A511" s="9">
        <v>3</v>
      </c>
      <c r="B511" s="111"/>
      <c r="C511" s="168" t="s">
        <v>349</v>
      </c>
      <c r="D511" s="169"/>
      <c r="E511" s="9">
        <v>36</v>
      </c>
      <c r="F511" s="7" t="s">
        <v>147</v>
      </c>
      <c r="G511" s="7" t="s">
        <v>147</v>
      </c>
      <c r="H511" s="7" t="s">
        <v>147</v>
      </c>
      <c r="I511" s="7" t="s">
        <v>147</v>
      </c>
    </row>
    <row r="512" spans="1:9" ht="14.4" customHeight="1">
      <c r="A512" s="9">
        <v>3</v>
      </c>
      <c r="B512" s="111"/>
      <c r="C512" s="168" t="s">
        <v>349</v>
      </c>
      <c r="D512" s="169"/>
      <c r="E512" s="9">
        <v>36</v>
      </c>
      <c r="F512" s="7" t="s">
        <v>147</v>
      </c>
      <c r="G512" s="7" t="s">
        <v>147</v>
      </c>
      <c r="H512" s="7" t="s">
        <v>147</v>
      </c>
      <c r="I512" s="7" t="s">
        <v>147</v>
      </c>
    </row>
    <row r="513" spans="1:9" ht="14.4" customHeight="1">
      <c r="A513" s="9">
        <v>3</v>
      </c>
      <c r="B513" s="111"/>
      <c r="C513" s="168" t="s">
        <v>349</v>
      </c>
      <c r="D513" s="169"/>
      <c r="E513" s="9">
        <v>36</v>
      </c>
      <c r="F513" s="7" t="s">
        <v>147</v>
      </c>
      <c r="G513" s="7" t="s">
        <v>147</v>
      </c>
      <c r="H513" s="7" t="s">
        <v>147</v>
      </c>
      <c r="I513" s="7" t="s">
        <v>147</v>
      </c>
    </row>
    <row r="514" spans="1:9" ht="14.4" customHeight="1">
      <c r="A514" s="9">
        <v>3</v>
      </c>
      <c r="B514" s="111"/>
      <c r="C514" s="168" t="s">
        <v>349</v>
      </c>
      <c r="D514" s="169"/>
      <c r="E514" s="9">
        <v>36</v>
      </c>
      <c r="F514" s="7" t="s">
        <v>147</v>
      </c>
      <c r="G514" s="7" t="s">
        <v>147</v>
      </c>
      <c r="H514" s="7" t="s">
        <v>147</v>
      </c>
      <c r="I514" s="7" t="s">
        <v>147</v>
      </c>
    </row>
    <row r="515" spans="1:9" ht="14.4" customHeight="1">
      <c r="A515" s="9">
        <v>3</v>
      </c>
      <c r="B515" s="111"/>
      <c r="C515" s="168" t="s">
        <v>349</v>
      </c>
      <c r="D515" s="169"/>
      <c r="E515" s="9">
        <v>36</v>
      </c>
      <c r="F515" s="7" t="s">
        <v>147</v>
      </c>
      <c r="G515" s="7" t="s">
        <v>147</v>
      </c>
      <c r="H515" s="7" t="s">
        <v>147</v>
      </c>
      <c r="I515" s="7" t="s">
        <v>147</v>
      </c>
    </row>
    <row r="516" spans="1:9" ht="14.4" customHeight="1">
      <c r="A516" s="9">
        <v>3</v>
      </c>
      <c r="B516" s="111"/>
      <c r="C516" s="168" t="s">
        <v>349</v>
      </c>
      <c r="D516" s="169"/>
      <c r="E516" s="9">
        <v>36</v>
      </c>
      <c r="F516" s="7" t="s">
        <v>147</v>
      </c>
      <c r="G516" s="7" t="s">
        <v>147</v>
      </c>
      <c r="H516" s="7" t="s">
        <v>147</v>
      </c>
      <c r="I516" s="7" t="s">
        <v>147</v>
      </c>
    </row>
    <row r="517" spans="1:9" ht="14.4" customHeight="1">
      <c r="A517" s="9">
        <v>3</v>
      </c>
      <c r="B517" s="111"/>
      <c r="C517" s="168" t="s">
        <v>349</v>
      </c>
      <c r="D517" s="169"/>
      <c r="E517" s="9">
        <v>36</v>
      </c>
      <c r="F517" s="7" t="s">
        <v>147</v>
      </c>
      <c r="G517" s="7" t="s">
        <v>147</v>
      </c>
      <c r="H517" s="7" t="s">
        <v>147</v>
      </c>
      <c r="I517" s="7" t="s">
        <v>147</v>
      </c>
    </row>
    <row r="518" spans="1:9" ht="14.4" customHeight="1">
      <c r="A518" s="9">
        <v>3</v>
      </c>
      <c r="B518" s="111"/>
      <c r="C518" s="168" t="s">
        <v>349</v>
      </c>
      <c r="D518" s="169"/>
      <c r="E518" s="9">
        <v>36</v>
      </c>
      <c r="F518" s="7" t="s">
        <v>147</v>
      </c>
      <c r="G518" s="7" t="s">
        <v>147</v>
      </c>
      <c r="H518" s="7" t="s">
        <v>147</v>
      </c>
      <c r="I518" s="7" t="s">
        <v>147</v>
      </c>
    </row>
    <row r="519" spans="1:9" ht="14.4" customHeight="1">
      <c r="A519" s="9">
        <v>3</v>
      </c>
      <c r="B519" s="111"/>
      <c r="C519" s="168" t="s">
        <v>349</v>
      </c>
      <c r="D519" s="169"/>
      <c r="E519" s="9">
        <v>36</v>
      </c>
      <c r="F519" s="7" t="s">
        <v>147</v>
      </c>
      <c r="G519" s="7" t="s">
        <v>147</v>
      </c>
      <c r="H519" s="7" t="s">
        <v>147</v>
      </c>
      <c r="I519" s="7" t="s">
        <v>147</v>
      </c>
    </row>
    <row r="520" spans="1:9" ht="14.4" customHeight="1">
      <c r="A520" s="9">
        <v>3</v>
      </c>
      <c r="B520" s="111"/>
      <c r="C520" s="168" t="s">
        <v>349</v>
      </c>
      <c r="D520" s="169"/>
      <c r="E520" s="9">
        <v>36</v>
      </c>
      <c r="F520" s="7" t="s">
        <v>147</v>
      </c>
      <c r="G520" s="7" t="s">
        <v>147</v>
      </c>
      <c r="H520" s="7" t="s">
        <v>147</v>
      </c>
      <c r="I520" s="7" t="s">
        <v>147</v>
      </c>
    </row>
    <row r="521" spans="1:9" ht="14.4" customHeight="1">
      <c r="A521" s="9">
        <v>3</v>
      </c>
      <c r="B521" s="111"/>
      <c r="C521" s="168" t="s">
        <v>349</v>
      </c>
      <c r="D521" s="169"/>
      <c r="E521" s="9">
        <v>36</v>
      </c>
      <c r="F521" s="7" t="s">
        <v>147</v>
      </c>
      <c r="G521" s="7" t="s">
        <v>147</v>
      </c>
      <c r="H521" s="7" t="s">
        <v>147</v>
      </c>
      <c r="I521" s="7" t="s">
        <v>147</v>
      </c>
    </row>
    <row r="522" spans="1:9" ht="14.4" customHeight="1">
      <c r="A522" s="9">
        <v>3</v>
      </c>
      <c r="B522" s="111"/>
      <c r="C522" s="168" t="s">
        <v>349</v>
      </c>
      <c r="D522" s="169"/>
      <c r="E522" s="9">
        <v>36</v>
      </c>
      <c r="F522" s="7" t="s">
        <v>147</v>
      </c>
      <c r="G522" s="7" t="s">
        <v>147</v>
      </c>
      <c r="H522" s="7" t="s">
        <v>147</v>
      </c>
      <c r="I522" s="7" t="s">
        <v>147</v>
      </c>
    </row>
    <row r="523" spans="1:9" ht="14.4" customHeight="1">
      <c r="A523" s="9">
        <v>3</v>
      </c>
      <c r="B523" s="111"/>
      <c r="C523" s="168" t="s">
        <v>349</v>
      </c>
      <c r="D523" s="169"/>
      <c r="E523" s="9">
        <v>36</v>
      </c>
      <c r="F523" s="7" t="s">
        <v>147</v>
      </c>
      <c r="G523" s="7" t="s">
        <v>147</v>
      </c>
      <c r="H523" s="7" t="s">
        <v>147</v>
      </c>
      <c r="I523" s="7" t="s">
        <v>147</v>
      </c>
    </row>
    <row r="524" spans="1:9" ht="14.4" customHeight="1">
      <c r="A524" s="9">
        <v>3</v>
      </c>
      <c r="B524" s="111"/>
      <c r="C524" s="168" t="s">
        <v>349</v>
      </c>
      <c r="D524" s="169"/>
      <c r="E524" s="9">
        <v>36</v>
      </c>
      <c r="F524" s="7" t="s">
        <v>147</v>
      </c>
      <c r="G524" s="7" t="s">
        <v>147</v>
      </c>
      <c r="H524" s="7" t="s">
        <v>147</v>
      </c>
      <c r="I524" s="7" t="s">
        <v>147</v>
      </c>
    </row>
    <row r="525" spans="1:9" ht="14.4" customHeight="1">
      <c r="A525" s="9">
        <v>3</v>
      </c>
      <c r="B525" s="111"/>
      <c r="C525" s="168" t="s">
        <v>349</v>
      </c>
      <c r="D525" s="169"/>
      <c r="E525" s="9">
        <v>36</v>
      </c>
      <c r="F525" s="7" t="s">
        <v>147</v>
      </c>
      <c r="G525" s="7" t="s">
        <v>147</v>
      </c>
      <c r="H525" s="7" t="s">
        <v>147</v>
      </c>
      <c r="I525" s="7" t="s">
        <v>147</v>
      </c>
    </row>
    <row r="526" spans="1:9" ht="14.4" customHeight="1">
      <c r="A526" s="9">
        <v>3</v>
      </c>
      <c r="B526" s="111"/>
      <c r="C526" s="168" t="s">
        <v>349</v>
      </c>
      <c r="D526" s="169"/>
      <c r="E526" s="9">
        <v>36</v>
      </c>
      <c r="F526" s="7" t="s">
        <v>147</v>
      </c>
      <c r="G526" s="7" t="s">
        <v>147</v>
      </c>
      <c r="H526" s="7" t="s">
        <v>147</v>
      </c>
      <c r="I526" s="7" t="s">
        <v>147</v>
      </c>
    </row>
    <row r="527" spans="1:9" ht="14.4" customHeight="1">
      <c r="A527" s="9">
        <v>3</v>
      </c>
      <c r="B527" s="111"/>
      <c r="C527" s="168" t="s">
        <v>349</v>
      </c>
      <c r="D527" s="169"/>
      <c r="E527" s="9">
        <v>36</v>
      </c>
      <c r="F527" s="7" t="s">
        <v>147</v>
      </c>
      <c r="G527" s="7" t="s">
        <v>147</v>
      </c>
      <c r="H527" s="7" t="s">
        <v>147</v>
      </c>
      <c r="I527" s="7" t="s">
        <v>147</v>
      </c>
    </row>
    <row r="528" spans="1:9" ht="14.4" customHeight="1">
      <c r="A528" s="9">
        <v>3</v>
      </c>
      <c r="B528" s="111"/>
      <c r="C528" s="168" t="s">
        <v>349</v>
      </c>
      <c r="D528" s="169"/>
      <c r="E528" s="9">
        <v>36</v>
      </c>
      <c r="F528" s="7" t="s">
        <v>147</v>
      </c>
      <c r="G528" s="7" t="s">
        <v>147</v>
      </c>
      <c r="H528" s="7" t="s">
        <v>147</v>
      </c>
      <c r="I528" s="7" t="s">
        <v>147</v>
      </c>
    </row>
    <row r="529" spans="1:9" ht="14.4" customHeight="1">
      <c r="A529" s="9">
        <v>3</v>
      </c>
      <c r="B529" s="111"/>
      <c r="C529" s="168" t="s">
        <v>349</v>
      </c>
      <c r="D529" s="169"/>
      <c r="E529" s="9">
        <v>36</v>
      </c>
      <c r="F529" s="7" t="s">
        <v>147</v>
      </c>
      <c r="G529" s="7" t="s">
        <v>147</v>
      </c>
      <c r="H529" s="7" t="s">
        <v>147</v>
      </c>
      <c r="I529" s="7" t="s">
        <v>147</v>
      </c>
    </row>
    <row r="530" spans="1:9" ht="14.4" customHeight="1">
      <c r="A530" s="9">
        <v>3</v>
      </c>
      <c r="B530" s="111"/>
      <c r="C530" s="168" t="s">
        <v>349</v>
      </c>
      <c r="D530" s="169"/>
      <c r="E530" s="9">
        <v>36</v>
      </c>
      <c r="F530" s="7" t="s">
        <v>147</v>
      </c>
      <c r="G530" s="7" t="s">
        <v>147</v>
      </c>
      <c r="H530" s="7" t="s">
        <v>147</v>
      </c>
      <c r="I530" s="7" t="s">
        <v>147</v>
      </c>
    </row>
    <row r="531" spans="1:9" ht="14.4" customHeight="1">
      <c r="A531" s="9">
        <v>3</v>
      </c>
      <c r="B531" s="111"/>
      <c r="C531" s="168" t="s">
        <v>349</v>
      </c>
      <c r="D531" s="169"/>
      <c r="E531" s="9">
        <v>36</v>
      </c>
      <c r="F531" s="7" t="s">
        <v>147</v>
      </c>
      <c r="G531" s="7" t="s">
        <v>147</v>
      </c>
      <c r="H531" s="7" t="s">
        <v>147</v>
      </c>
      <c r="I531" s="7" t="s">
        <v>147</v>
      </c>
    </row>
    <row r="532" spans="1:9" ht="14.4" customHeight="1">
      <c r="A532" s="9">
        <v>3</v>
      </c>
      <c r="B532" s="111"/>
      <c r="C532" s="168" t="s">
        <v>349</v>
      </c>
      <c r="D532" s="169"/>
      <c r="E532" s="9">
        <v>36</v>
      </c>
      <c r="F532" s="7" t="s">
        <v>147</v>
      </c>
      <c r="G532" s="7" t="s">
        <v>147</v>
      </c>
      <c r="H532" s="7" t="s">
        <v>147</v>
      </c>
      <c r="I532" s="7" t="s">
        <v>147</v>
      </c>
    </row>
    <row r="533" spans="1:9" ht="14.4" customHeight="1">
      <c r="A533" s="9">
        <v>3</v>
      </c>
      <c r="B533" s="111"/>
      <c r="C533" s="168" t="s">
        <v>349</v>
      </c>
      <c r="D533" s="169"/>
      <c r="E533" s="9">
        <v>36</v>
      </c>
      <c r="F533" s="7" t="s">
        <v>147</v>
      </c>
      <c r="G533" s="7" t="s">
        <v>147</v>
      </c>
      <c r="H533" s="7" t="s">
        <v>147</v>
      </c>
      <c r="I533" s="7" t="s">
        <v>147</v>
      </c>
    </row>
    <row r="534" spans="1:9" ht="14.4" customHeight="1">
      <c r="A534" s="9">
        <v>3</v>
      </c>
      <c r="B534" s="111"/>
      <c r="C534" s="168" t="s">
        <v>349</v>
      </c>
      <c r="D534" s="169"/>
      <c r="E534" s="9">
        <v>36</v>
      </c>
      <c r="F534" s="7" t="s">
        <v>147</v>
      </c>
      <c r="G534" s="7" t="s">
        <v>147</v>
      </c>
      <c r="H534" s="7" t="s">
        <v>147</v>
      </c>
      <c r="I534" s="7" t="s">
        <v>147</v>
      </c>
    </row>
    <row r="535" spans="1:9" ht="14.4" customHeight="1">
      <c r="A535" s="9">
        <v>3</v>
      </c>
      <c r="B535" s="111"/>
      <c r="C535" s="168" t="s">
        <v>349</v>
      </c>
      <c r="D535" s="169"/>
      <c r="E535" s="9">
        <v>36</v>
      </c>
      <c r="F535" s="7" t="s">
        <v>147</v>
      </c>
      <c r="G535" s="7" t="s">
        <v>147</v>
      </c>
      <c r="H535" s="7" t="s">
        <v>147</v>
      </c>
      <c r="I535" s="7" t="s">
        <v>147</v>
      </c>
    </row>
    <row r="536" spans="1:9" ht="14.4" customHeight="1">
      <c r="A536" s="9">
        <v>3</v>
      </c>
      <c r="B536" s="111"/>
      <c r="C536" s="168" t="s">
        <v>349</v>
      </c>
      <c r="D536" s="169"/>
      <c r="E536" s="9">
        <v>36</v>
      </c>
      <c r="F536" s="7" t="s">
        <v>147</v>
      </c>
      <c r="G536" s="7" t="s">
        <v>147</v>
      </c>
      <c r="H536" s="7" t="s">
        <v>147</v>
      </c>
      <c r="I536" s="7" t="s">
        <v>147</v>
      </c>
    </row>
    <row r="537" spans="1:9" ht="14.4" customHeight="1">
      <c r="A537" s="9">
        <v>3</v>
      </c>
      <c r="B537" s="111"/>
      <c r="C537" s="168" t="s">
        <v>349</v>
      </c>
      <c r="D537" s="169"/>
      <c r="E537" s="9">
        <v>36</v>
      </c>
      <c r="F537" s="7" t="s">
        <v>147</v>
      </c>
      <c r="G537" s="7" t="s">
        <v>147</v>
      </c>
      <c r="H537" s="7" t="s">
        <v>147</v>
      </c>
      <c r="I537" s="7" t="s">
        <v>147</v>
      </c>
    </row>
    <row r="538" spans="1:9" ht="14.4" customHeight="1">
      <c r="A538" s="9">
        <v>3</v>
      </c>
      <c r="B538" s="111"/>
      <c r="C538" s="168" t="s">
        <v>349</v>
      </c>
      <c r="D538" s="169"/>
      <c r="E538" s="9">
        <v>36</v>
      </c>
      <c r="F538" s="7" t="s">
        <v>147</v>
      </c>
      <c r="G538" s="7" t="s">
        <v>147</v>
      </c>
      <c r="H538" s="7" t="s">
        <v>147</v>
      </c>
      <c r="I538" s="7" t="s">
        <v>147</v>
      </c>
    </row>
    <row r="539" spans="1:9" ht="14.4" customHeight="1">
      <c r="A539" s="9">
        <v>3</v>
      </c>
      <c r="B539" s="111"/>
      <c r="C539" s="168" t="s">
        <v>349</v>
      </c>
      <c r="D539" s="169"/>
      <c r="E539" s="9">
        <v>36</v>
      </c>
      <c r="F539" s="7" t="s">
        <v>147</v>
      </c>
      <c r="G539" s="7" t="s">
        <v>147</v>
      </c>
      <c r="H539" s="7" t="s">
        <v>147</v>
      </c>
      <c r="I539" s="7" t="s">
        <v>147</v>
      </c>
    </row>
    <row r="540" spans="1:9" ht="14.4" customHeight="1">
      <c r="A540" s="9">
        <v>3</v>
      </c>
      <c r="B540" s="111"/>
      <c r="C540" s="168" t="s">
        <v>349</v>
      </c>
      <c r="D540" s="169"/>
      <c r="E540" s="9">
        <v>36</v>
      </c>
      <c r="F540" s="7" t="s">
        <v>147</v>
      </c>
      <c r="G540" s="7" t="s">
        <v>147</v>
      </c>
      <c r="H540" s="7" t="s">
        <v>147</v>
      </c>
      <c r="I540" s="7" t="s">
        <v>147</v>
      </c>
    </row>
    <row r="541" spans="1:9" ht="14.4" customHeight="1">
      <c r="A541" s="9">
        <v>3</v>
      </c>
      <c r="B541" s="111"/>
      <c r="C541" s="168" t="s">
        <v>349</v>
      </c>
      <c r="D541" s="169"/>
      <c r="E541" s="9">
        <v>36</v>
      </c>
      <c r="F541" s="7" t="s">
        <v>147</v>
      </c>
      <c r="G541" s="7" t="s">
        <v>147</v>
      </c>
      <c r="H541" s="7" t="s">
        <v>147</v>
      </c>
      <c r="I541" s="7" t="s">
        <v>147</v>
      </c>
    </row>
    <row r="542" spans="1:9" ht="14.4" customHeight="1">
      <c r="A542" s="9">
        <v>3</v>
      </c>
      <c r="B542" s="111"/>
      <c r="C542" s="168" t="s">
        <v>349</v>
      </c>
      <c r="D542" s="169"/>
      <c r="E542" s="9">
        <v>36</v>
      </c>
      <c r="F542" s="7" t="s">
        <v>147</v>
      </c>
      <c r="G542" s="7" t="s">
        <v>147</v>
      </c>
      <c r="H542" s="7" t="s">
        <v>147</v>
      </c>
      <c r="I542" s="7" t="s">
        <v>147</v>
      </c>
    </row>
    <row r="543" spans="1:9" ht="14.4" customHeight="1">
      <c r="A543" s="9">
        <v>3</v>
      </c>
      <c r="B543" s="111"/>
      <c r="C543" s="168" t="s">
        <v>349</v>
      </c>
      <c r="D543" s="169"/>
      <c r="E543" s="9">
        <v>36</v>
      </c>
      <c r="F543" s="7" t="s">
        <v>147</v>
      </c>
      <c r="G543" s="7" t="s">
        <v>147</v>
      </c>
      <c r="H543" s="7" t="s">
        <v>147</v>
      </c>
      <c r="I543" s="7" t="s">
        <v>147</v>
      </c>
    </row>
    <row r="544" spans="1:9" ht="14.4" customHeight="1">
      <c r="A544" s="9">
        <v>3</v>
      </c>
      <c r="B544" s="111"/>
      <c r="C544" s="168" t="s">
        <v>349</v>
      </c>
      <c r="D544" s="169"/>
      <c r="E544" s="9">
        <v>36</v>
      </c>
      <c r="F544" s="7" t="s">
        <v>147</v>
      </c>
      <c r="G544" s="7" t="s">
        <v>147</v>
      </c>
      <c r="H544" s="7" t="s">
        <v>147</v>
      </c>
      <c r="I544" s="7" t="s">
        <v>147</v>
      </c>
    </row>
    <row r="545" spans="1:9" ht="14.4" customHeight="1">
      <c r="A545" s="9">
        <v>3</v>
      </c>
      <c r="B545" s="111"/>
      <c r="C545" s="168" t="s">
        <v>349</v>
      </c>
      <c r="D545" s="169"/>
      <c r="E545" s="9">
        <v>36</v>
      </c>
      <c r="F545" s="7" t="s">
        <v>147</v>
      </c>
      <c r="G545" s="7" t="s">
        <v>147</v>
      </c>
      <c r="H545" s="7" t="s">
        <v>147</v>
      </c>
      <c r="I545" s="7" t="s">
        <v>147</v>
      </c>
    </row>
    <row r="546" spans="1:9" ht="14.4" customHeight="1">
      <c r="A546" s="9">
        <v>3</v>
      </c>
      <c r="B546" s="111"/>
      <c r="C546" s="168" t="s">
        <v>349</v>
      </c>
      <c r="D546" s="169"/>
      <c r="E546" s="9">
        <v>36</v>
      </c>
      <c r="F546" s="7" t="s">
        <v>147</v>
      </c>
      <c r="G546" s="7" t="s">
        <v>147</v>
      </c>
      <c r="H546" s="7" t="s">
        <v>147</v>
      </c>
      <c r="I546" s="7" t="s">
        <v>147</v>
      </c>
    </row>
    <row r="547" spans="1:9" ht="14.4" customHeight="1">
      <c r="A547" s="9">
        <v>3</v>
      </c>
      <c r="B547" s="111"/>
      <c r="C547" s="168" t="s">
        <v>349</v>
      </c>
      <c r="D547" s="169"/>
      <c r="E547" s="9">
        <v>36</v>
      </c>
      <c r="F547" s="7" t="s">
        <v>147</v>
      </c>
      <c r="G547" s="7" t="s">
        <v>147</v>
      </c>
      <c r="H547" s="7" t="s">
        <v>147</v>
      </c>
      <c r="I547" s="7" t="s">
        <v>147</v>
      </c>
    </row>
    <row r="548" spans="1:9" ht="14.4" customHeight="1">
      <c r="A548" s="9">
        <v>3</v>
      </c>
      <c r="B548" s="111"/>
      <c r="C548" s="168" t="s">
        <v>349</v>
      </c>
      <c r="D548" s="169"/>
      <c r="E548" s="9">
        <v>36</v>
      </c>
      <c r="F548" s="7" t="s">
        <v>147</v>
      </c>
      <c r="G548" s="7" t="s">
        <v>147</v>
      </c>
      <c r="H548" s="7" t="s">
        <v>147</v>
      </c>
      <c r="I548" s="7" t="s">
        <v>147</v>
      </c>
    </row>
    <row r="549" spans="1:9" ht="14.4" customHeight="1">
      <c r="A549" s="9">
        <v>3</v>
      </c>
      <c r="B549" s="111"/>
      <c r="C549" s="168" t="s">
        <v>349</v>
      </c>
      <c r="D549" s="169"/>
      <c r="E549" s="9">
        <v>36</v>
      </c>
      <c r="F549" s="7" t="s">
        <v>147</v>
      </c>
      <c r="G549" s="7" t="s">
        <v>147</v>
      </c>
      <c r="H549" s="7" t="s">
        <v>147</v>
      </c>
      <c r="I549" s="7" t="s">
        <v>147</v>
      </c>
    </row>
    <row r="550" spans="1:9" ht="14.4" customHeight="1">
      <c r="A550" s="9">
        <v>3</v>
      </c>
      <c r="B550" s="111"/>
      <c r="C550" s="168" t="s">
        <v>349</v>
      </c>
      <c r="D550" s="169"/>
      <c r="E550" s="9">
        <v>36</v>
      </c>
      <c r="F550" s="7" t="s">
        <v>147</v>
      </c>
      <c r="G550" s="7" t="s">
        <v>147</v>
      </c>
      <c r="H550" s="7" t="s">
        <v>147</v>
      </c>
      <c r="I550" s="7" t="s">
        <v>147</v>
      </c>
    </row>
    <row r="551" spans="1:9" ht="14.4" customHeight="1">
      <c r="A551" s="9">
        <v>3</v>
      </c>
      <c r="B551" s="111"/>
      <c r="C551" s="168" t="s">
        <v>349</v>
      </c>
      <c r="D551" s="169"/>
      <c r="E551" s="9">
        <v>36</v>
      </c>
      <c r="F551" s="7" t="s">
        <v>147</v>
      </c>
      <c r="G551" s="7" t="s">
        <v>147</v>
      </c>
      <c r="H551" s="7" t="s">
        <v>147</v>
      </c>
      <c r="I551" s="7" t="s">
        <v>147</v>
      </c>
    </row>
    <row r="552" spans="1:9" ht="14.4" customHeight="1">
      <c r="A552" s="9">
        <v>3</v>
      </c>
      <c r="B552" s="111"/>
      <c r="C552" s="168" t="s">
        <v>349</v>
      </c>
      <c r="D552" s="169"/>
      <c r="E552" s="9">
        <v>36</v>
      </c>
      <c r="F552" s="7" t="s">
        <v>147</v>
      </c>
      <c r="G552" s="7" t="s">
        <v>147</v>
      </c>
      <c r="H552" s="7" t="s">
        <v>147</v>
      </c>
      <c r="I552" s="7" t="s">
        <v>147</v>
      </c>
    </row>
    <row r="553" spans="1:9" ht="14.4" customHeight="1">
      <c r="A553" s="9">
        <v>3</v>
      </c>
      <c r="B553" s="111"/>
      <c r="C553" s="168" t="s">
        <v>349</v>
      </c>
      <c r="D553" s="169"/>
      <c r="E553" s="9">
        <v>36</v>
      </c>
      <c r="F553" s="7" t="s">
        <v>147</v>
      </c>
      <c r="G553" s="7" t="s">
        <v>147</v>
      </c>
      <c r="H553" s="7" t="s">
        <v>147</v>
      </c>
      <c r="I553" s="7" t="s">
        <v>147</v>
      </c>
    </row>
    <row r="554" spans="1:9" ht="14.4" customHeight="1">
      <c r="A554" s="9">
        <v>3</v>
      </c>
      <c r="B554" s="111"/>
      <c r="C554" s="168" t="s">
        <v>349</v>
      </c>
      <c r="D554" s="169"/>
      <c r="E554" s="9">
        <v>36</v>
      </c>
      <c r="F554" s="7" t="s">
        <v>147</v>
      </c>
      <c r="G554" s="7" t="s">
        <v>147</v>
      </c>
      <c r="H554" s="7" t="s">
        <v>147</v>
      </c>
      <c r="I554" s="7" t="s">
        <v>147</v>
      </c>
    </row>
    <row r="555" spans="1:9" ht="14.4" customHeight="1">
      <c r="A555" s="9">
        <v>3</v>
      </c>
      <c r="B555" s="111"/>
      <c r="C555" s="168" t="s">
        <v>349</v>
      </c>
      <c r="D555" s="169"/>
      <c r="E555" s="9">
        <v>36</v>
      </c>
      <c r="F555" s="7" t="s">
        <v>147</v>
      </c>
      <c r="G555" s="7" t="s">
        <v>147</v>
      </c>
      <c r="H555" s="7" t="s">
        <v>147</v>
      </c>
      <c r="I555" s="7" t="s">
        <v>147</v>
      </c>
    </row>
    <row r="556" spans="1:9" ht="14.4" customHeight="1">
      <c r="A556" s="9">
        <v>3</v>
      </c>
      <c r="B556" s="111"/>
      <c r="C556" s="168" t="s">
        <v>349</v>
      </c>
      <c r="D556" s="169"/>
      <c r="E556" s="9">
        <v>36</v>
      </c>
      <c r="F556" s="7" t="s">
        <v>147</v>
      </c>
      <c r="G556" s="7" t="s">
        <v>147</v>
      </c>
      <c r="H556" s="7" t="s">
        <v>147</v>
      </c>
      <c r="I556" s="7" t="s">
        <v>147</v>
      </c>
    </row>
    <row r="557" spans="1:9" ht="14.4" customHeight="1">
      <c r="A557" s="9">
        <v>3</v>
      </c>
      <c r="B557" s="111"/>
      <c r="C557" s="168" t="s">
        <v>349</v>
      </c>
      <c r="D557" s="169"/>
      <c r="E557" s="9">
        <v>36</v>
      </c>
      <c r="F557" s="7" t="s">
        <v>147</v>
      </c>
      <c r="G557" s="7" t="s">
        <v>147</v>
      </c>
      <c r="H557" s="7" t="s">
        <v>147</v>
      </c>
      <c r="I557" s="7" t="s">
        <v>147</v>
      </c>
    </row>
    <row r="558" spans="1:9" ht="14.4" customHeight="1">
      <c r="A558" s="9">
        <v>3</v>
      </c>
      <c r="B558" s="111"/>
      <c r="C558" s="168" t="s">
        <v>349</v>
      </c>
      <c r="D558" s="169"/>
      <c r="E558" s="9">
        <v>36</v>
      </c>
      <c r="F558" s="7" t="s">
        <v>147</v>
      </c>
      <c r="G558" s="7" t="s">
        <v>147</v>
      </c>
      <c r="H558" s="7" t="s">
        <v>147</v>
      </c>
      <c r="I558" s="7" t="s">
        <v>147</v>
      </c>
    </row>
    <row r="559" spans="1:9" ht="14.4" customHeight="1">
      <c r="A559" s="9">
        <v>3</v>
      </c>
      <c r="B559" s="111"/>
      <c r="C559" s="168" t="s">
        <v>349</v>
      </c>
      <c r="D559" s="169"/>
      <c r="E559" s="9">
        <v>36</v>
      </c>
      <c r="F559" s="7" t="s">
        <v>147</v>
      </c>
      <c r="G559" s="7" t="s">
        <v>147</v>
      </c>
      <c r="H559" s="7" t="s">
        <v>147</v>
      </c>
      <c r="I559" s="7" t="s">
        <v>147</v>
      </c>
    </row>
    <row r="560" spans="1:9" ht="14.4" customHeight="1">
      <c r="A560" s="9">
        <v>3</v>
      </c>
      <c r="B560" s="111"/>
      <c r="C560" s="168" t="s">
        <v>349</v>
      </c>
      <c r="D560" s="169"/>
      <c r="E560" s="9">
        <v>36</v>
      </c>
      <c r="F560" s="7" t="s">
        <v>147</v>
      </c>
      <c r="G560" s="7" t="s">
        <v>147</v>
      </c>
      <c r="H560" s="7" t="s">
        <v>147</v>
      </c>
      <c r="I560" s="7" t="s">
        <v>147</v>
      </c>
    </row>
    <row r="561" spans="1:9" ht="14.4" customHeight="1">
      <c r="A561" s="9">
        <v>3</v>
      </c>
      <c r="B561" s="111"/>
      <c r="C561" s="168" t="s">
        <v>349</v>
      </c>
      <c r="D561" s="169"/>
      <c r="E561" s="9">
        <v>36</v>
      </c>
      <c r="F561" s="7" t="s">
        <v>147</v>
      </c>
      <c r="G561" s="7" t="s">
        <v>147</v>
      </c>
      <c r="H561" s="7" t="s">
        <v>147</v>
      </c>
      <c r="I561" s="7" t="s">
        <v>147</v>
      </c>
    </row>
    <row r="562" spans="1:9" ht="14.4" customHeight="1">
      <c r="A562" s="9">
        <v>3</v>
      </c>
      <c r="B562" s="111"/>
      <c r="C562" s="168" t="s">
        <v>349</v>
      </c>
      <c r="D562" s="169"/>
      <c r="E562" s="9">
        <v>36</v>
      </c>
      <c r="F562" s="7" t="s">
        <v>147</v>
      </c>
      <c r="G562" s="7" t="s">
        <v>147</v>
      </c>
      <c r="H562" s="7" t="s">
        <v>147</v>
      </c>
      <c r="I562" s="7" t="s">
        <v>147</v>
      </c>
    </row>
    <row r="563" spans="1:9" ht="14.4" customHeight="1">
      <c r="A563" s="9">
        <v>3</v>
      </c>
      <c r="B563" s="111"/>
      <c r="C563" s="168" t="s">
        <v>349</v>
      </c>
      <c r="D563" s="169"/>
      <c r="E563" s="9">
        <v>36</v>
      </c>
      <c r="F563" s="7" t="s">
        <v>147</v>
      </c>
      <c r="G563" s="7" t="s">
        <v>147</v>
      </c>
      <c r="H563" s="7" t="s">
        <v>147</v>
      </c>
      <c r="I563" s="7" t="s">
        <v>147</v>
      </c>
    </row>
    <row r="564" spans="1:9" ht="14.4" customHeight="1">
      <c r="A564" s="9">
        <v>3</v>
      </c>
      <c r="B564" s="111"/>
      <c r="C564" s="168" t="s">
        <v>349</v>
      </c>
      <c r="D564" s="169"/>
      <c r="E564" s="9">
        <v>36</v>
      </c>
      <c r="F564" s="7" t="s">
        <v>147</v>
      </c>
      <c r="G564" s="7" t="s">
        <v>147</v>
      </c>
      <c r="H564" s="7" t="s">
        <v>147</v>
      </c>
      <c r="I564" s="7" t="s">
        <v>147</v>
      </c>
    </row>
    <row r="565" spans="1:9" ht="14.4" customHeight="1">
      <c r="A565" s="9">
        <v>3</v>
      </c>
      <c r="B565" s="111"/>
      <c r="C565" s="168" t="s">
        <v>349</v>
      </c>
      <c r="D565" s="169"/>
      <c r="E565" s="9">
        <v>36</v>
      </c>
      <c r="F565" s="7" t="s">
        <v>147</v>
      </c>
      <c r="G565" s="7" t="s">
        <v>147</v>
      </c>
      <c r="H565" s="7" t="s">
        <v>147</v>
      </c>
      <c r="I565" s="7" t="s">
        <v>147</v>
      </c>
    </row>
    <row r="566" spans="1:9" ht="14.4" customHeight="1">
      <c r="A566" s="9">
        <v>3</v>
      </c>
      <c r="B566" s="111"/>
      <c r="C566" s="168" t="s">
        <v>349</v>
      </c>
      <c r="D566" s="169"/>
      <c r="E566" s="9">
        <v>36</v>
      </c>
      <c r="F566" s="7" t="s">
        <v>147</v>
      </c>
      <c r="G566" s="7" t="s">
        <v>147</v>
      </c>
      <c r="H566" s="7" t="s">
        <v>147</v>
      </c>
      <c r="I566" s="7" t="s">
        <v>147</v>
      </c>
    </row>
    <row r="567" spans="1:9" ht="14.4" customHeight="1">
      <c r="A567" s="9">
        <v>3</v>
      </c>
      <c r="B567" s="111"/>
      <c r="C567" s="168" t="s">
        <v>349</v>
      </c>
      <c r="D567" s="169"/>
      <c r="E567" s="9">
        <v>36</v>
      </c>
      <c r="F567" s="7" t="s">
        <v>147</v>
      </c>
      <c r="G567" s="7" t="s">
        <v>147</v>
      </c>
      <c r="H567" s="7" t="s">
        <v>147</v>
      </c>
      <c r="I567" s="7" t="s">
        <v>147</v>
      </c>
    </row>
    <row r="568" spans="1:9" ht="14.4" customHeight="1">
      <c r="A568" s="9">
        <v>3</v>
      </c>
      <c r="B568" s="111"/>
      <c r="C568" s="168" t="s">
        <v>349</v>
      </c>
      <c r="D568" s="169"/>
      <c r="E568" s="9">
        <v>36</v>
      </c>
      <c r="F568" s="7" t="s">
        <v>147</v>
      </c>
      <c r="G568" s="7" t="s">
        <v>147</v>
      </c>
      <c r="H568" s="7" t="s">
        <v>147</v>
      </c>
      <c r="I568" s="7" t="s">
        <v>147</v>
      </c>
    </row>
    <row r="569" spans="1:9" ht="14.4" customHeight="1">
      <c r="A569" s="9">
        <v>3</v>
      </c>
      <c r="B569" s="111"/>
      <c r="C569" s="168" t="s">
        <v>349</v>
      </c>
      <c r="D569" s="169"/>
      <c r="E569" s="9">
        <v>36</v>
      </c>
      <c r="F569" s="7" t="s">
        <v>147</v>
      </c>
      <c r="G569" s="7" t="s">
        <v>147</v>
      </c>
      <c r="H569" s="7" t="s">
        <v>147</v>
      </c>
      <c r="I569" s="7" t="s">
        <v>147</v>
      </c>
    </row>
    <row r="570" spans="1:9" ht="14.4" customHeight="1">
      <c r="A570" s="9">
        <v>3</v>
      </c>
      <c r="B570" s="111"/>
      <c r="C570" s="168" t="s">
        <v>349</v>
      </c>
      <c r="D570" s="169"/>
      <c r="E570" s="9">
        <v>36</v>
      </c>
      <c r="F570" s="7" t="s">
        <v>147</v>
      </c>
      <c r="G570" s="7" t="s">
        <v>147</v>
      </c>
      <c r="H570" s="7" t="s">
        <v>147</v>
      </c>
      <c r="I570" s="7" t="s">
        <v>147</v>
      </c>
    </row>
    <row r="571" spans="1:9" ht="14.4" customHeight="1">
      <c r="A571" s="9">
        <v>3</v>
      </c>
      <c r="B571" s="111"/>
      <c r="C571" s="168" t="s">
        <v>349</v>
      </c>
      <c r="D571" s="169"/>
      <c r="E571" s="9">
        <v>36</v>
      </c>
      <c r="F571" s="7" t="s">
        <v>147</v>
      </c>
      <c r="G571" s="7" t="s">
        <v>147</v>
      </c>
      <c r="H571" s="7" t="s">
        <v>147</v>
      </c>
      <c r="I571" s="7" t="s">
        <v>147</v>
      </c>
    </row>
    <row r="572" spans="1:9" ht="14.4" customHeight="1">
      <c r="A572" s="9">
        <v>3</v>
      </c>
      <c r="B572" s="111"/>
      <c r="C572" s="168" t="s">
        <v>349</v>
      </c>
      <c r="D572" s="169"/>
      <c r="E572" s="9">
        <v>36</v>
      </c>
      <c r="F572" s="7" t="s">
        <v>147</v>
      </c>
      <c r="G572" s="7" t="s">
        <v>147</v>
      </c>
      <c r="H572" s="7" t="s">
        <v>147</v>
      </c>
      <c r="I572" s="7" t="s">
        <v>147</v>
      </c>
    </row>
    <row r="573" spans="1:9" ht="14.4" customHeight="1">
      <c r="A573" s="9">
        <v>3</v>
      </c>
      <c r="B573" s="111"/>
      <c r="C573" s="168" t="s">
        <v>349</v>
      </c>
      <c r="D573" s="169"/>
      <c r="E573" s="9">
        <v>36</v>
      </c>
      <c r="F573" s="7" t="s">
        <v>147</v>
      </c>
      <c r="G573" s="7" t="s">
        <v>147</v>
      </c>
      <c r="H573" s="7" t="s">
        <v>147</v>
      </c>
      <c r="I573" s="7" t="s">
        <v>147</v>
      </c>
    </row>
    <row r="574" spans="1:9" ht="14.4" customHeight="1">
      <c r="A574" s="9">
        <v>3</v>
      </c>
      <c r="B574" s="111"/>
      <c r="C574" s="168" t="s">
        <v>349</v>
      </c>
      <c r="D574" s="169"/>
      <c r="E574" s="9">
        <v>36</v>
      </c>
      <c r="F574" s="7" t="s">
        <v>147</v>
      </c>
      <c r="G574" s="7" t="s">
        <v>147</v>
      </c>
      <c r="H574" s="7" t="s">
        <v>147</v>
      </c>
      <c r="I574" s="7" t="s">
        <v>147</v>
      </c>
    </row>
    <row r="575" spans="1:9" ht="14.4" customHeight="1">
      <c r="A575" s="9">
        <v>3</v>
      </c>
      <c r="B575" s="111"/>
      <c r="C575" s="168" t="s">
        <v>349</v>
      </c>
      <c r="D575" s="169"/>
      <c r="E575" s="9">
        <v>36</v>
      </c>
      <c r="F575" s="7" t="s">
        <v>147</v>
      </c>
      <c r="G575" s="7" t="s">
        <v>147</v>
      </c>
      <c r="H575" s="7" t="s">
        <v>147</v>
      </c>
      <c r="I575" s="7" t="s">
        <v>147</v>
      </c>
    </row>
    <row r="576" spans="1:9" ht="14.4" customHeight="1">
      <c r="A576" s="9">
        <v>3</v>
      </c>
      <c r="B576" s="111"/>
      <c r="C576" s="168" t="s">
        <v>349</v>
      </c>
      <c r="D576" s="169"/>
      <c r="E576" s="9">
        <v>36</v>
      </c>
      <c r="F576" s="7" t="s">
        <v>147</v>
      </c>
      <c r="G576" s="7" t="s">
        <v>147</v>
      </c>
      <c r="H576" s="7" t="s">
        <v>147</v>
      </c>
      <c r="I576" s="7" t="s">
        <v>147</v>
      </c>
    </row>
    <row r="577" spans="1:9" ht="14.4" customHeight="1">
      <c r="A577" s="9">
        <v>3</v>
      </c>
      <c r="B577" s="111"/>
      <c r="C577" s="168" t="s">
        <v>349</v>
      </c>
      <c r="D577" s="169"/>
      <c r="E577" s="9">
        <v>36</v>
      </c>
      <c r="F577" s="7" t="s">
        <v>147</v>
      </c>
      <c r="G577" s="7" t="s">
        <v>147</v>
      </c>
      <c r="H577" s="7" t="s">
        <v>147</v>
      </c>
      <c r="I577" s="7" t="s">
        <v>147</v>
      </c>
    </row>
    <row r="578" spans="1:9" ht="14.4" customHeight="1">
      <c r="A578" s="9">
        <v>3</v>
      </c>
      <c r="B578" s="111"/>
      <c r="C578" s="168" t="s">
        <v>349</v>
      </c>
      <c r="D578" s="169"/>
      <c r="E578" s="9">
        <v>36</v>
      </c>
      <c r="F578" s="7" t="s">
        <v>147</v>
      </c>
      <c r="G578" s="7" t="s">
        <v>147</v>
      </c>
      <c r="H578" s="7" t="s">
        <v>147</v>
      </c>
      <c r="I578" s="7" t="s">
        <v>147</v>
      </c>
    </row>
    <row r="579" spans="1:9" ht="14.4" customHeight="1">
      <c r="A579" s="9">
        <v>3</v>
      </c>
      <c r="B579" s="111"/>
      <c r="C579" s="168" t="s">
        <v>349</v>
      </c>
      <c r="D579" s="169"/>
      <c r="E579" s="9">
        <v>36</v>
      </c>
      <c r="F579" s="7" t="s">
        <v>147</v>
      </c>
      <c r="G579" s="7" t="s">
        <v>147</v>
      </c>
      <c r="H579" s="7" t="s">
        <v>147</v>
      </c>
      <c r="I579" s="7" t="s">
        <v>147</v>
      </c>
    </row>
    <row r="580" spans="1:9" ht="14.4" customHeight="1">
      <c r="A580" s="9">
        <v>3</v>
      </c>
      <c r="B580" s="111"/>
      <c r="C580" s="168" t="s">
        <v>349</v>
      </c>
      <c r="D580" s="169"/>
      <c r="E580" s="9">
        <v>36</v>
      </c>
      <c r="F580" s="7" t="s">
        <v>147</v>
      </c>
      <c r="G580" s="7" t="s">
        <v>147</v>
      </c>
      <c r="H580" s="7" t="s">
        <v>147</v>
      </c>
      <c r="I580" s="7" t="s">
        <v>147</v>
      </c>
    </row>
    <row r="581" spans="1:9" ht="14.4" customHeight="1">
      <c r="A581" s="9">
        <v>3</v>
      </c>
      <c r="B581" s="111"/>
      <c r="C581" s="168" t="s">
        <v>349</v>
      </c>
      <c r="D581" s="169"/>
      <c r="E581" s="9">
        <v>36</v>
      </c>
      <c r="F581" s="7" t="s">
        <v>147</v>
      </c>
      <c r="G581" s="7" t="s">
        <v>147</v>
      </c>
      <c r="H581" s="7" t="s">
        <v>147</v>
      </c>
      <c r="I581" s="7" t="s">
        <v>147</v>
      </c>
    </row>
    <row r="582" spans="1:9" ht="14.4" customHeight="1">
      <c r="A582" s="9">
        <v>3</v>
      </c>
      <c r="B582" s="111"/>
      <c r="C582" s="168" t="s">
        <v>349</v>
      </c>
      <c r="D582" s="169"/>
      <c r="E582" s="9">
        <v>36</v>
      </c>
      <c r="F582" s="7" t="s">
        <v>147</v>
      </c>
      <c r="G582" s="7" t="s">
        <v>147</v>
      </c>
      <c r="H582" s="7" t="s">
        <v>147</v>
      </c>
      <c r="I582" s="7" t="s">
        <v>147</v>
      </c>
    </row>
    <row r="583" spans="1:9" ht="14.4" customHeight="1">
      <c r="A583" s="9">
        <v>3</v>
      </c>
      <c r="B583" s="111"/>
      <c r="C583" s="168" t="s">
        <v>349</v>
      </c>
      <c r="D583" s="169"/>
      <c r="E583" s="9">
        <v>36</v>
      </c>
      <c r="F583" s="7" t="s">
        <v>147</v>
      </c>
      <c r="G583" s="7" t="s">
        <v>147</v>
      </c>
      <c r="H583" s="7" t="s">
        <v>147</v>
      </c>
      <c r="I583" s="7" t="s">
        <v>147</v>
      </c>
    </row>
    <row r="584" spans="1:9" ht="14.4" customHeight="1">
      <c r="A584" s="9">
        <v>3</v>
      </c>
      <c r="B584" s="111"/>
      <c r="C584" s="168" t="s">
        <v>349</v>
      </c>
      <c r="D584" s="169"/>
      <c r="E584" s="9">
        <v>36</v>
      </c>
      <c r="F584" s="7" t="s">
        <v>147</v>
      </c>
      <c r="G584" s="7" t="s">
        <v>147</v>
      </c>
      <c r="H584" s="7" t="s">
        <v>147</v>
      </c>
      <c r="I584" s="7" t="s">
        <v>147</v>
      </c>
    </row>
    <row r="585" spans="1:9" ht="14.4" customHeight="1">
      <c r="A585" s="9">
        <v>3</v>
      </c>
      <c r="B585" s="111"/>
      <c r="C585" s="168" t="s">
        <v>349</v>
      </c>
      <c r="D585" s="169"/>
      <c r="E585" s="9">
        <v>36</v>
      </c>
      <c r="F585" s="7" t="s">
        <v>147</v>
      </c>
      <c r="G585" s="7" t="s">
        <v>147</v>
      </c>
      <c r="H585" s="7" t="s">
        <v>147</v>
      </c>
      <c r="I585" s="7" t="s">
        <v>147</v>
      </c>
    </row>
    <row r="586" spans="1:9" ht="14.4" customHeight="1">
      <c r="A586" s="9">
        <v>3</v>
      </c>
      <c r="B586" s="111"/>
      <c r="C586" s="168" t="s">
        <v>349</v>
      </c>
      <c r="D586" s="169"/>
      <c r="E586" s="9">
        <v>36</v>
      </c>
      <c r="F586" s="7" t="s">
        <v>147</v>
      </c>
      <c r="G586" s="7" t="s">
        <v>147</v>
      </c>
      <c r="H586" s="7" t="s">
        <v>147</v>
      </c>
      <c r="I586" s="7" t="s">
        <v>147</v>
      </c>
    </row>
    <row r="587" spans="1:9" ht="14.4" customHeight="1">
      <c r="A587" s="9">
        <v>3</v>
      </c>
      <c r="B587" s="111"/>
      <c r="C587" s="168" t="s">
        <v>349</v>
      </c>
      <c r="D587" s="169"/>
      <c r="E587" s="9">
        <v>36</v>
      </c>
      <c r="F587" s="7" t="s">
        <v>147</v>
      </c>
      <c r="G587" s="7" t="s">
        <v>147</v>
      </c>
      <c r="H587" s="7" t="s">
        <v>147</v>
      </c>
      <c r="I587" s="7" t="s">
        <v>147</v>
      </c>
    </row>
    <row r="588" spans="1:9" ht="14.4" customHeight="1">
      <c r="A588" s="9">
        <v>3</v>
      </c>
      <c r="B588" s="111"/>
      <c r="C588" s="168" t="s">
        <v>349</v>
      </c>
      <c r="D588" s="169"/>
      <c r="E588" s="9">
        <v>36</v>
      </c>
      <c r="F588" s="7" t="s">
        <v>147</v>
      </c>
      <c r="G588" s="7" t="s">
        <v>147</v>
      </c>
      <c r="H588" s="7" t="s">
        <v>147</v>
      </c>
      <c r="I588" s="7" t="s">
        <v>147</v>
      </c>
    </row>
    <row r="589" spans="1:9" ht="14.4" customHeight="1">
      <c r="A589" s="9">
        <v>3</v>
      </c>
      <c r="B589" s="111"/>
      <c r="C589" s="168" t="s">
        <v>349</v>
      </c>
      <c r="D589" s="169"/>
      <c r="E589" s="9">
        <v>36</v>
      </c>
      <c r="F589" s="7" t="s">
        <v>147</v>
      </c>
      <c r="G589" s="7" t="s">
        <v>147</v>
      </c>
      <c r="H589" s="7" t="s">
        <v>147</v>
      </c>
      <c r="I589" s="7" t="s">
        <v>147</v>
      </c>
    </row>
    <row r="590" spans="1:9" ht="14.4" customHeight="1">
      <c r="A590" s="9">
        <v>3</v>
      </c>
      <c r="B590" s="111"/>
      <c r="C590" s="168" t="s">
        <v>349</v>
      </c>
      <c r="D590" s="169"/>
      <c r="E590" s="9">
        <v>36</v>
      </c>
      <c r="F590" s="7" t="s">
        <v>147</v>
      </c>
      <c r="G590" s="7" t="s">
        <v>147</v>
      </c>
      <c r="H590" s="7" t="s">
        <v>147</v>
      </c>
      <c r="I590" s="7" t="s">
        <v>147</v>
      </c>
    </row>
    <row r="591" spans="1:9" ht="14.4" customHeight="1">
      <c r="A591" s="9">
        <v>3</v>
      </c>
      <c r="B591" s="111"/>
      <c r="C591" s="168" t="s">
        <v>349</v>
      </c>
      <c r="D591" s="169"/>
      <c r="E591" s="9">
        <v>36</v>
      </c>
      <c r="F591" s="7" t="s">
        <v>147</v>
      </c>
      <c r="G591" s="7" t="s">
        <v>147</v>
      </c>
      <c r="H591" s="7" t="s">
        <v>147</v>
      </c>
      <c r="I591" s="7" t="s">
        <v>147</v>
      </c>
    </row>
    <row r="592" spans="1:9" ht="14.4" customHeight="1">
      <c r="A592" s="9">
        <v>3</v>
      </c>
      <c r="B592" s="111"/>
      <c r="C592" s="168" t="s">
        <v>349</v>
      </c>
      <c r="D592" s="169"/>
      <c r="E592" s="9">
        <v>36</v>
      </c>
      <c r="F592" s="7" t="s">
        <v>147</v>
      </c>
      <c r="G592" s="7" t="s">
        <v>147</v>
      </c>
      <c r="H592" s="7" t="s">
        <v>147</v>
      </c>
      <c r="I592" s="7" t="s">
        <v>147</v>
      </c>
    </row>
    <row r="593" spans="1:9" ht="14.4" customHeight="1">
      <c r="A593" s="9">
        <v>3</v>
      </c>
      <c r="B593" s="111"/>
      <c r="C593" s="168" t="s">
        <v>349</v>
      </c>
      <c r="D593" s="169"/>
      <c r="E593" s="9">
        <v>36</v>
      </c>
      <c r="F593" s="7" t="s">
        <v>147</v>
      </c>
      <c r="G593" s="7" t="s">
        <v>147</v>
      </c>
      <c r="H593" s="7" t="s">
        <v>147</v>
      </c>
      <c r="I593" s="7" t="s">
        <v>147</v>
      </c>
    </row>
    <row r="594" spans="1:9" ht="14.4" customHeight="1">
      <c r="A594" s="9">
        <v>3</v>
      </c>
      <c r="B594" s="111"/>
      <c r="C594" s="168" t="s">
        <v>349</v>
      </c>
      <c r="D594" s="169"/>
      <c r="E594" s="9">
        <v>36</v>
      </c>
      <c r="F594" s="7" t="s">
        <v>147</v>
      </c>
      <c r="G594" s="7" t="s">
        <v>147</v>
      </c>
      <c r="H594" s="7" t="s">
        <v>147</v>
      </c>
      <c r="I594" s="7" t="s">
        <v>147</v>
      </c>
    </row>
    <row r="595" spans="1:9" ht="14.4" customHeight="1">
      <c r="A595" s="9">
        <v>3</v>
      </c>
      <c r="B595" s="111"/>
      <c r="C595" s="168" t="s">
        <v>349</v>
      </c>
      <c r="D595" s="169"/>
      <c r="E595" s="9">
        <v>36</v>
      </c>
      <c r="F595" s="7" t="s">
        <v>147</v>
      </c>
      <c r="G595" s="7" t="s">
        <v>147</v>
      </c>
      <c r="H595" s="7" t="s">
        <v>147</v>
      </c>
      <c r="I595" s="7" t="s">
        <v>147</v>
      </c>
    </row>
    <row r="596" spans="1:9" ht="14.4" customHeight="1">
      <c r="A596" s="9">
        <v>3</v>
      </c>
      <c r="B596" s="111"/>
      <c r="C596" s="168" t="s">
        <v>349</v>
      </c>
      <c r="D596" s="169"/>
      <c r="E596" s="9">
        <v>36</v>
      </c>
      <c r="F596" s="7" t="s">
        <v>147</v>
      </c>
      <c r="G596" s="7" t="s">
        <v>147</v>
      </c>
      <c r="H596" s="7" t="s">
        <v>147</v>
      </c>
      <c r="I596" s="7" t="s">
        <v>147</v>
      </c>
    </row>
    <row r="597" spans="1:9" ht="14.4" customHeight="1">
      <c r="A597" s="9">
        <v>3</v>
      </c>
      <c r="B597" s="111"/>
      <c r="C597" s="168" t="s">
        <v>349</v>
      </c>
      <c r="D597" s="169"/>
      <c r="E597" s="9">
        <v>36</v>
      </c>
      <c r="F597" s="7" t="s">
        <v>147</v>
      </c>
      <c r="G597" s="7" t="s">
        <v>147</v>
      </c>
      <c r="H597" s="7" t="s">
        <v>147</v>
      </c>
      <c r="I597" s="7" t="s">
        <v>147</v>
      </c>
    </row>
    <row r="598" spans="1:9" ht="14.4" customHeight="1">
      <c r="A598" s="9">
        <v>3</v>
      </c>
      <c r="B598" s="111"/>
      <c r="C598" s="168" t="s">
        <v>349</v>
      </c>
      <c r="D598" s="169"/>
      <c r="E598" s="9">
        <v>36</v>
      </c>
      <c r="F598" s="7" t="s">
        <v>147</v>
      </c>
      <c r="G598" s="7" t="s">
        <v>147</v>
      </c>
      <c r="H598" s="7" t="s">
        <v>147</v>
      </c>
      <c r="I598" s="7" t="s">
        <v>147</v>
      </c>
    </row>
    <row r="599" spans="1:9" ht="14.4" customHeight="1">
      <c r="A599" s="9">
        <v>3</v>
      </c>
      <c r="B599" s="111"/>
      <c r="C599" s="168" t="s">
        <v>349</v>
      </c>
      <c r="D599" s="169"/>
      <c r="E599" s="9">
        <v>36</v>
      </c>
      <c r="F599" s="7" t="s">
        <v>147</v>
      </c>
      <c r="G599" s="7" t="s">
        <v>147</v>
      </c>
      <c r="H599" s="7" t="s">
        <v>147</v>
      </c>
      <c r="I599" s="7" t="s">
        <v>147</v>
      </c>
    </row>
    <row r="600" spans="1:9" ht="14.4" customHeight="1">
      <c r="A600" s="9">
        <v>3</v>
      </c>
      <c r="B600" s="111"/>
      <c r="C600" s="168" t="s">
        <v>349</v>
      </c>
      <c r="D600" s="169"/>
      <c r="E600" s="9">
        <v>36</v>
      </c>
      <c r="F600" s="7" t="s">
        <v>147</v>
      </c>
      <c r="G600" s="7" t="s">
        <v>147</v>
      </c>
      <c r="H600" s="7" t="s">
        <v>147</v>
      </c>
      <c r="I600" s="7" t="s">
        <v>147</v>
      </c>
    </row>
    <row r="601" spans="1:9" ht="14.4" customHeight="1">
      <c r="A601" s="9">
        <v>3</v>
      </c>
      <c r="B601" s="111"/>
      <c r="C601" s="168" t="s">
        <v>349</v>
      </c>
      <c r="D601" s="169"/>
      <c r="E601" s="9">
        <v>36</v>
      </c>
      <c r="F601" s="7" t="s">
        <v>147</v>
      </c>
      <c r="G601" s="7" t="s">
        <v>147</v>
      </c>
      <c r="H601" s="7" t="s">
        <v>147</v>
      </c>
      <c r="I601" s="7" t="s">
        <v>147</v>
      </c>
    </row>
    <row r="602" spans="1:9" ht="14.4" customHeight="1">
      <c r="A602" s="9">
        <v>3</v>
      </c>
      <c r="B602" s="111"/>
      <c r="C602" s="168" t="s">
        <v>349</v>
      </c>
      <c r="D602" s="169"/>
      <c r="E602" s="9">
        <v>36</v>
      </c>
      <c r="F602" s="7" t="s">
        <v>147</v>
      </c>
      <c r="G602" s="7" t="s">
        <v>147</v>
      </c>
      <c r="H602" s="7" t="s">
        <v>147</v>
      </c>
      <c r="I602" s="7" t="s">
        <v>147</v>
      </c>
    </row>
    <row r="603" spans="1:9" ht="14.4" customHeight="1">
      <c r="A603" s="9">
        <v>3</v>
      </c>
      <c r="B603" s="111"/>
      <c r="C603" s="168" t="s">
        <v>349</v>
      </c>
      <c r="D603" s="169"/>
      <c r="E603" s="9">
        <v>36</v>
      </c>
      <c r="F603" s="7" t="s">
        <v>147</v>
      </c>
      <c r="G603" s="7" t="s">
        <v>147</v>
      </c>
      <c r="H603" s="7" t="s">
        <v>147</v>
      </c>
      <c r="I603" s="7" t="s">
        <v>147</v>
      </c>
    </row>
    <row r="604" spans="1:9" ht="14.4" customHeight="1">
      <c r="A604" s="9">
        <v>3</v>
      </c>
      <c r="B604" s="111"/>
      <c r="C604" s="168" t="s">
        <v>349</v>
      </c>
      <c r="D604" s="169"/>
      <c r="E604" s="9">
        <v>36</v>
      </c>
      <c r="F604" s="7" t="s">
        <v>147</v>
      </c>
      <c r="G604" s="7" t="s">
        <v>147</v>
      </c>
      <c r="H604" s="7" t="s">
        <v>147</v>
      </c>
      <c r="I604" s="7" t="s">
        <v>147</v>
      </c>
    </row>
    <row r="605" spans="1:9" ht="14.4" customHeight="1">
      <c r="A605" s="9">
        <v>3</v>
      </c>
      <c r="B605" s="111"/>
      <c r="C605" s="168" t="s">
        <v>349</v>
      </c>
      <c r="D605" s="169"/>
      <c r="E605" s="9">
        <v>36</v>
      </c>
      <c r="F605" s="7" t="s">
        <v>147</v>
      </c>
      <c r="G605" s="7" t="s">
        <v>147</v>
      </c>
      <c r="H605" s="7" t="s">
        <v>147</v>
      </c>
      <c r="I605" s="7" t="s">
        <v>147</v>
      </c>
    </row>
    <row r="606" spans="1:9" ht="14.4" customHeight="1">
      <c r="A606" s="9">
        <v>3</v>
      </c>
      <c r="B606" s="111"/>
      <c r="C606" s="168" t="s">
        <v>349</v>
      </c>
      <c r="D606" s="169"/>
      <c r="E606" s="9">
        <v>36</v>
      </c>
      <c r="F606" s="7" t="s">
        <v>147</v>
      </c>
      <c r="G606" s="7" t="s">
        <v>147</v>
      </c>
      <c r="H606" s="7" t="s">
        <v>147</v>
      </c>
      <c r="I606" s="7" t="s">
        <v>147</v>
      </c>
    </row>
    <row r="607" spans="1:9" ht="14.4" customHeight="1">
      <c r="A607" s="9">
        <v>3</v>
      </c>
      <c r="B607" s="111"/>
      <c r="C607" s="168" t="s">
        <v>349</v>
      </c>
      <c r="D607" s="169"/>
      <c r="E607" s="9">
        <v>36</v>
      </c>
      <c r="F607" s="7" t="s">
        <v>147</v>
      </c>
      <c r="G607" s="7" t="s">
        <v>147</v>
      </c>
      <c r="H607" s="7" t="s">
        <v>147</v>
      </c>
      <c r="I607" s="7" t="s">
        <v>147</v>
      </c>
    </row>
    <row r="608" spans="1:9" ht="14.4" customHeight="1">
      <c r="A608" s="9">
        <v>3</v>
      </c>
      <c r="B608" s="111"/>
      <c r="C608" s="168" t="s">
        <v>349</v>
      </c>
      <c r="D608" s="169"/>
      <c r="E608" s="9">
        <v>36</v>
      </c>
      <c r="F608" s="7" t="s">
        <v>147</v>
      </c>
      <c r="G608" s="7" t="s">
        <v>147</v>
      </c>
      <c r="H608" s="7" t="s">
        <v>147</v>
      </c>
      <c r="I608" s="7" t="s">
        <v>147</v>
      </c>
    </row>
    <row r="609" spans="1:9" ht="14.4" customHeight="1">
      <c r="A609" s="9">
        <v>3</v>
      </c>
      <c r="B609" s="111"/>
      <c r="C609" s="168" t="s">
        <v>349</v>
      </c>
      <c r="D609" s="169"/>
      <c r="E609" s="9">
        <v>36</v>
      </c>
      <c r="F609" s="7" t="s">
        <v>147</v>
      </c>
      <c r="G609" s="7" t="s">
        <v>147</v>
      </c>
      <c r="H609" s="7" t="s">
        <v>147</v>
      </c>
      <c r="I609" s="7" t="s">
        <v>147</v>
      </c>
    </row>
    <row r="610" spans="1:9" ht="14.4" customHeight="1">
      <c r="A610" s="9">
        <v>3</v>
      </c>
      <c r="B610" s="111"/>
      <c r="C610" s="168" t="s">
        <v>349</v>
      </c>
      <c r="D610" s="169"/>
      <c r="E610" s="9">
        <v>36</v>
      </c>
      <c r="F610" s="7" t="s">
        <v>147</v>
      </c>
      <c r="G610" s="7" t="s">
        <v>147</v>
      </c>
      <c r="H610" s="7" t="s">
        <v>147</v>
      </c>
      <c r="I610" s="7" t="s">
        <v>147</v>
      </c>
    </row>
    <row r="611" spans="1:9" ht="14.4" customHeight="1">
      <c r="A611" s="9">
        <v>3</v>
      </c>
      <c r="B611" s="111"/>
      <c r="C611" s="168" t="s">
        <v>349</v>
      </c>
      <c r="D611" s="169"/>
      <c r="E611" s="9">
        <v>36</v>
      </c>
      <c r="F611" s="7" t="s">
        <v>147</v>
      </c>
      <c r="G611" s="7" t="s">
        <v>147</v>
      </c>
      <c r="H611" s="7" t="s">
        <v>147</v>
      </c>
      <c r="I611" s="7" t="s">
        <v>147</v>
      </c>
    </row>
    <row r="612" spans="1:9" ht="14.4" customHeight="1">
      <c r="A612" s="9">
        <v>3</v>
      </c>
      <c r="B612" s="111"/>
      <c r="C612" s="168" t="s">
        <v>349</v>
      </c>
      <c r="D612" s="169"/>
      <c r="E612" s="9">
        <v>36</v>
      </c>
      <c r="F612" s="7" t="s">
        <v>147</v>
      </c>
      <c r="G612" s="7" t="s">
        <v>147</v>
      </c>
      <c r="H612" s="7" t="s">
        <v>147</v>
      </c>
      <c r="I612" s="7" t="s">
        <v>147</v>
      </c>
    </row>
    <row r="613" spans="1:9" ht="14.4" customHeight="1">
      <c r="A613" s="9">
        <v>3</v>
      </c>
      <c r="B613" s="111"/>
      <c r="C613" s="168" t="s">
        <v>349</v>
      </c>
      <c r="D613" s="169"/>
      <c r="E613" s="9">
        <v>36</v>
      </c>
      <c r="F613" s="7" t="s">
        <v>147</v>
      </c>
      <c r="G613" s="7" t="s">
        <v>147</v>
      </c>
      <c r="H613" s="7" t="s">
        <v>147</v>
      </c>
      <c r="I613" s="7" t="s">
        <v>147</v>
      </c>
    </row>
    <row r="614" spans="1:9" ht="14.4" customHeight="1">
      <c r="A614" s="9">
        <v>3</v>
      </c>
      <c r="B614" s="111"/>
      <c r="C614" s="168" t="s">
        <v>349</v>
      </c>
      <c r="D614" s="169"/>
      <c r="E614" s="9">
        <v>36</v>
      </c>
      <c r="F614" s="7" t="s">
        <v>147</v>
      </c>
      <c r="G614" s="7" t="s">
        <v>147</v>
      </c>
      <c r="H614" s="7" t="s">
        <v>147</v>
      </c>
      <c r="I614" s="7" t="s">
        <v>147</v>
      </c>
    </row>
    <row r="615" spans="1:9" ht="14.4" customHeight="1">
      <c r="A615" s="9">
        <v>3</v>
      </c>
      <c r="B615" s="111"/>
      <c r="C615" s="168" t="s">
        <v>349</v>
      </c>
      <c r="D615" s="169"/>
      <c r="E615" s="9">
        <v>36</v>
      </c>
      <c r="F615" s="7" t="s">
        <v>147</v>
      </c>
      <c r="G615" s="7" t="s">
        <v>147</v>
      </c>
      <c r="H615" s="7" t="s">
        <v>147</v>
      </c>
      <c r="I615" s="7" t="s">
        <v>147</v>
      </c>
    </row>
    <row r="616" spans="1:9" ht="14.4" customHeight="1">
      <c r="A616" s="9">
        <v>3</v>
      </c>
      <c r="B616" s="111"/>
      <c r="C616" s="168" t="s">
        <v>349</v>
      </c>
      <c r="D616" s="169"/>
      <c r="E616" s="9">
        <v>36</v>
      </c>
      <c r="F616" s="7" t="s">
        <v>147</v>
      </c>
      <c r="G616" s="7" t="s">
        <v>147</v>
      </c>
      <c r="H616" s="7" t="s">
        <v>147</v>
      </c>
      <c r="I616" s="7" t="s">
        <v>147</v>
      </c>
    </row>
    <row r="617" spans="1:9" ht="14.4" customHeight="1">
      <c r="A617" s="9">
        <v>3</v>
      </c>
      <c r="B617" s="111"/>
      <c r="C617" s="168" t="s">
        <v>349</v>
      </c>
      <c r="D617" s="169"/>
      <c r="E617" s="9">
        <v>36</v>
      </c>
      <c r="F617" s="7" t="s">
        <v>147</v>
      </c>
      <c r="G617" s="7" t="s">
        <v>147</v>
      </c>
      <c r="H617" s="7" t="s">
        <v>147</v>
      </c>
      <c r="I617" s="7" t="s">
        <v>147</v>
      </c>
    </row>
    <row r="618" spans="1:9" ht="14.4" customHeight="1">
      <c r="A618" s="9">
        <v>3</v>
      </c>
      <c r="B618" s="111"/>
      <c r="C618" s="168" t="s">
        <v>349</v>
      </c>
      <c r="D618" s="169"/>
      <c r="E618" s="9">
        <v>36</v>
      </c>
      <c r="F618" s="7" t="s">
        <v>147</v>
      </c>
      <c r="G618" s="7" t="s">
        <v>147</v>
      </c>
      <c r="H618" s="7" t="s">
        <v>147</v>
      </c>
      <c r="I618" s="7" t="s">
        <v>147</v>
      </c>
    </row>
    <row r="619" spans="1:9" ht="14.4" customHeight="1">
      <c r="A619" s="9">
        <v>3</v>
      </c>
      <c r="B619" s="111"/>
      <c r="C619" s="168" t="s">
        <v>349</v>
      </c>
      <c r="D619" s="169"/>
      <c r="E619" s="9">
        <v>36</v>
      </c>
      <c r="F619" s="7" t="s">
        <v>147</v>
      </c>
      <c r="G619" s="7" t="s">
        <v>147</v>
      </c>
      <c r="H619" s="7" t="s">
        <v>147</v>
      </c>
      <c r="I619" s="7" t="s">
        <v>147</v>
      </c>
    </row>
    <row r="620" spans="1:9" ht="14.4" customHeight="1">
      <c r="A620" s="9">
        <v>3</v>
      </c>
      <c r="B620" s="111"/>
      <c r="C620" s="168" t="s">
        <v>349</v>
      </c>
      <c r="D620" s="169"/>
      <c r="E620" s="9">
        <v>36</v>
      </c>
      <c r="F620" s="7" t="s">
        <v>147</v>
      </c>
      <c r="G620" s="7" t="s">
        <v>147</v>
      </c>
      <c r="H620" s="7" t="s">
        <v>147</v>
      </c>
      <c r="I620" s="7" t="s">
        <v>147</v>
      </c>
    </row>
    <row r="621" spans="1:9" ht="14.4" customHeight="1">
      <c r="A621" s="9">
        <v>3</v>
      </c>
      <c r="B621" s="111"/>
      <c r="C621" s="168" t="s">
        <v>349</v>
      </c>
      <c r="D621" s="169"/>
      <c r="E621" s="9">
        <v>36</v>
      </c>
      <c r="F621" s="7" t="s">
        <v>147</v>
      </c>
      <c r="G621" s="7" t="s">
        <v>147</v>
      </c>
      <c r="H621" s="7" t="s">
        <v>147</v>
      </c>
      <c r="I621" s="7" t="s">
        <v>147</v>
      </c>
    </row>
    <row r="622" spans="1:9" ht="14.4" customHeight="1">
      <c r="A622" s="9">
        <v>3</v>
      </c>
      <c r="B622" s="111"/>
      <c r="C622" s="168" t="s">
        <v>349</v>
      </c>
      <c r="D622" s="169"/>
      <c r="E622" s="9">
        <v>36</v>
      </c>
      <c r="F622" s="7" t="s">
        <v>147</v>
      </c>
      <c r="G622" s="7" t="s">
        <v>147</v>
      </c>
      <c r="H622" s="7" t="s">
        <v>147</v>
      </c>
      <c r="I622" s="7" t="s">
        <v>147</v>
      </c>
    </row>
    <row r="623" spans="1:9" ht="14.4" customHeight="1">
      <c r="A623" s="9">
        <v>3</v>
      </c>
      <c r="B623" s="111"/>
      <c r="C623" s="168" t="s">
        <v>349</v>
      </c>
      <c r="D623" s="169"/>
      <c r="E623" s="9">
        <v>36</v>
      </c>
      <c r="F623" s="7" t="s">
        <v>147</v>
      </c>
      <c r="G623" s="7" t="s">
        <v>147</v>
      </c>
      <c r="H623" s="7" t="s">
        <v>147</v>
      </c>
      <c r="I623" s="7" t="s">
        <v>147</v>
      </c>
    </row>
    <row r="624" spans="1:9" ht="14.4" customHeight="1">
      <c r="A624" s="9">
        <v>3</v>
      </c>
      <c r="B624" s="111"/>
      <c r="C624" s="168" t="s">
        <v>349</v>
      </c>
      <c r="D624" s="169"/>
      <c r="E624" s="9">
        <v>36</v>
      </c>
      <c r="F624" s="7" t="s">
        <v>147</v>
      </c>
      <c r="G624" s="7" t="s">
        <v>147</v>
      </c>
      <c r="H624" s="7" t="s">
        <v>147</v>
      </c>
      <c r="I624" s="7" t="s">
        <v>147</v>
      </c>
    </row>
    <row r="625" spans="1:9" ht="14.4" customHeight="1">
      <c r="A625" s="9">
        <v>3</v>
      </c>
      <c r="B625" s="111"/>
      <c r="C625" s="168" t="s">
        <v>349</v>
      </c>
      <c r="D625" s="169"/>
      <c r="E625" s="9">
        <v>36</v>
      </c>
      <c r="F625" s="7" t="s">
        <v>147</v>
      </c>
      <c r="G625" s="7" t="s">
        <v>147</v>
      </c>
      <c r="H625" s="7" t="s">
        <v>147</v>
      </c>
      <c r="I625" s="7" t="s">
        <v>147</v>
      </c>
    </row>
    <row r="626" spans="1:9" ht="14.4" customHeight="1">
      <c r="A626" s="9">
        <v>3</v>
      </c>
      <c r="B626" s="111"/>
      <c r="C626" s="168" t="s">
        <v>349</v>
      </c>
      <c r="D626" s="169"/>
      <c r="E626" s="9">
        <v>36</v>
      </c>
      <c r="F626" s="7" t="s">
        <v>147</v>
      </c>
      <c r="G626" s="7" t="s">
        <v>147</v>
      </c>
      <c r="H626" s="7" t="s">
        <v>147</v>
      </c>
      <c r="I626" s="7" t="s">
        <v>147</v>
      </c>
    </row>
    <row r="627" spans="1:9" ht="14.4" customHeight="1">
      <c r="A627" s="9">
        <v>3</v>
      </c>
      <c r="B627" s="111"/>
      <c r="C627" s="168" t="s">
        <v>349</v>
      </c>
      <c r="D627" s="169"/>
      <c r="E627" s="9">
        <v>36</v>
      </c>
      <c r="F627" s="7" t="s">
        <v>147</v>
      </c>
      <c r="G627" s="7" t="s">
        <v>147</v>
      </c>
      <c r="H627" s="7" t="s">
        <v>147</v>
      </c>
      <c r="I627" s="7" t="s">
        <v>147</v>
      </c>
    </row>
    <row r="628" spans="1:9" ht="14.4" customHeight="1">
      <c r="A628" s="9">
        <v>3</v>
      </c>
      <c r="B628" s="111"/>
      <c r="C628" s="168" t="s">
        <v>349</v>
      </c>
      <c r="D628" s="169"/>
      <c r="E628" s="9">
        <v>36</v>
      </c>
      <c r="F628" s="7" t="s">
        <v>147</v>
      </c>
      <c r="G628" s="7" t="s">
        <v>147</v>
      </c>
      <c r="H628" s="7" t="s">
        <v>147</v>
      </c>
      <c r="I628" s="7" t="s">
        <v>147</v>
      </c>
    </row>
    <row r="629" spans="1:9" ht="14.4" customHeight="1">
      <c r="A629" s="9">
        <v>3</v>
      </c>
      <c r="B629" s="111"/>
      <c r="C629" s="168" t="s">
        <v>349</v>
      </c>
      <c r="D629" s="169"/>
      <c r="E629" s="9">
        <v>36</v>
      </c>
      <c r="F629" s="7" t="s">
        <v>147</v>
      </c>
      <c r="G629" s="7" t="s">
        <v>147</v>
      </c>
      <c r="H629" s="7" t="s">
        <v>147</v>
      </c>
      <c r="I629" s="7" t="s">
        <v>147</v>
      </c>
    </row>
    <row r="630" spans="1:9" ht="14.4" customHeight="1">
      <c r="A630" s="9">
        <v>3</v>
      </c>
      <c r="B630" s="111"/>
      <c r="C630" s="168" t="s">
        <v>349</v>
      </c>
      <c r="D630" s="169"/>
      <c r="E630" s="9">
        <v>36</v>
      </c>
      <c r="F630" s="7" t="s">
        <v>147</v>
      </c>
      <c r="G630" s="7" t="s">
        <v>147</v>
      </c>
      <c r="H630" s="7" t="s">
        <v>147</v>
      </c>
      <c r="I630" s="7" t="s">
        <v>147</v>
      </c>
    </row>
    <row r="631" spans="1:9" ht="14.4" customHeight="1">
      <c r="A631" s="9">
        <v>3</v>
      </c>
      <c r="B631" s="111"/>
      <c r="C631" s="168" t="s">
        <v>349</v>
      </c>
      <c r="D631" s="169"/>
      <c r="E631" s="9">
        <v>36</v>
      </c>
      <c r="F631" s="7" t="s">
        <v>147</v>
      </c>
      <c r="G631" s="7" t="s">
        <v>147</v>
      </c>
      <c r="H631" s="7" t="s">
        <v>147</v>
      </c>
      <c r="I631" s="7" t="s">
        <v>147</v>
      </c>
    </row>
    <row r="632" spans="1:9" ht="14.4" customHeight="1">
      <c r="A632" s="9">
        <v>3</v>
      </c>
      <c r="B632" s="111"/>
      <c r="C632" s="168" t="s">
        <v>349</v>
      </c>
      <c r="D632" s="169"/>
      <c r="E632" s="9">
        <v>36</v>
      </c>
      <c r="F632" s="7" t="s">
        <v>147</v>
      </c>
      <c r="G632" s="7" t="s">
        <v>147</v>
      </c>
      <c r="H632" s="7" t="s">
        <v>147</v>
      </c>
      <c r="I632" s="7" t="s">
        <v>147</v>
      </c>
    </row>
    <row r="633" spans="1:9" ht="14.4" customHeight="1">
      <c r="A633" s="9">
        <v>3</v>
      </c>
      <c r="B633" s="111"/>
      <c r="C633" s="168" t="s">
        <v>349</v>
      </c>
      <c r="D633" s="169"/>
      <c r="E633" s="9">
        <v>36</v>
      </c>
      <c r="F633" s="7" t="s">
        <v>147</v>
      </c>
      <c r="G633" s="7" t="s">
        <v>147</v>
      </c>
      <c r="H633" s="7" t="s">
        <v>147</v>
      </c>
      <c r="I633" s="7" t="s">
        <v>147</v>
      </c>
    </row>
    <row r="634" spans="1:9" ht="14.4" customHeight="1">
      <c r="A634" s="9">
        <v>3</v>
      </c>
      <c r="B634" s="111"/>
      <c r="C634" s="168" t="s">
        <v>349</v>
      </c>
      <c r="D634" s="169"/>
      <c r="E634" s="9">
        <v>36</v>
      </c>
      <c r="F634" s="7" t="s">
        <v>147</v>
      </c>
      <c r="G634" s="7" t="s">
        <v>147</v>
      </c>
      <c r="H634" s="7" t="s">
        <v>147</v>
      </c>
      <c r="I634" s="7" t="s">
        <v>147</v>
      </c>
    </row>
    <row r="635" spans="1:9" ht="14.4" customHeight="1">
      <c r="A635" s="9">
        <v>3</v>
      </c>
      <c r="B635" s="111"/>
      <c r="C635" s="168" t="s">
        <v>349</v>
      </c>
      <c r="D635" s="169"/>
      <c r="E635" s="9">
        <v>36</v>
      </c>
      <c r="F635" s="7" t="s">
        <v>147</v>
      </c>
      <c r="G635" s="7" t="s">
        <v>147</v>
      </c>
      <c r="H635" s="7" t="s">
        <v>147</v>
      </c>
      <c r="I635" s="7" t="s">
        <v>147</v>
      </c>
    </row>
    <row r="636" spans="1:9" ht="14.4" customHeight="1">
      <c r="A636" s="9">
        <v>3</v>
      </c>
      <c r="B636" s="111"/>
      <c r="C636" s="168" t="s">
        <v>349</v>
      </c>
      <c r="D636" s="169"/>
      <c r="E636" s="9">
        <v>36</v>
      </c>
      <c r="F636" s="7" t="s">
        <v>147</v>
      </c>
      <c r="G636" s="7" t="s">
        <v>147</v>
      </c>
      <c r="H636" s="7" t="s">
        <v>147</v>
      </c>
      <c r="I636" s="7" t="s">
        <v>147</v>
      </c>
    </row>
    <row r="637" spans="1:9" ht="14.4" customHeight="1">
      <c r="A637" s="9">
        <v>3</v>
      </c>
      <c r="B637" s="111"/>
      <c r="C637" s="168" t="s">
        <v>349</v>
      </c>
      <c r="D637" s="169"/>
      <c r="E637" s="9">
        <v>36</v>
      </c>
      <c r="F637" s="7" t="s">
        <v>147</v>
      </c>
      <c r="G637" s="7" t="s">
        <v>147</v>
      </c>
      <c r="H637" s="7" t="s">
        <v>147</v>
      </c>
      <c r="I637" s="7" t="s">
        <v>147</v>
      </c>
    </row>
    <row r="638" spans="1:9" ht="14.4" customHeight="1">
      <c r="A638" s="9">
        <v>3</v>
      </c>
      <c r="B638" s="111"/>
      <c r="C638" s="168" t="s">
        <v>349</v>
      </c>
      <c r="D638" s="169"/>
      <c r="E638" s="9">
        <v>36</v>
      </c>
      <c r="F638" s="7" t="s">
        <v>147</v>
      </c>
      <c r="G638" s="7" t="s">
        <v>147</v>
      </c>
      <c r="H638" s="7" t="s">
        <v>147</v>
      </c>
      <c r="I638" s="7" t="s">
        <v>147</v>
      </c>
    </row>
    <row r="639" spans="1:9" ht="14.4" customHeight="1">
      <c r="A639" s="9">
        <v>3</v>
      </c>
      <c r="B639" s="111"/>
      <c r="C639" s="168" t="s">
        <v>349</v>
      </c>
      <c r="D639" s="169"/>
      <c r="E639" s="9">
        <v>36</v>
      </c>
      <c r="F639" s="7" t="s">
        <v>147</v>
      </c>
      <c r="G639" s="7" t="s">
        <v>147</v>
      </c>
      <c r="H639" s="7" t="s">
        <v>147</v>
      </c>
      <c r="I639" s="7" t="s">
        <v>147</v>
      </c>
    </row>
    <row r="640" spans="1:9" ht="14.4" customHeight="1">
      <c r="A640" s="9">
        <v>3</v>
      </c>
      <c r="B640" s="111"/>
      <c r="C640" s="168" t="s">
        <v>349</v>
      </c>
      <c r="D640" s="169"/>
      <c r="E640" s="9">
        <v>36</v>
      </c>
      <c r="F640" s="7" t="s">
        <v>147</v>
      </c>
      <c r="G640" s="7" t="s">
        <v>147</v>
      </c>
      <c r="H640" s="7" t="s">
        <v>147</v>
      </c>
      <c r="I640" s="7" t="s">
        <v>147</v>
      </c>
    </row>
    <row r="641" spans="1:9" ht="14.4" customHeight="1">
      <c r="A641" s="9">
        <v>3</v>
      </c>
      <c r="B641" s="111"/>
      <c r="C641" s="168" t="s">
        <v>349</v>
      </c>
      <c r="D641" s="169"/>
      <c r="E641" s="9">
        <v>36</v>
      </c>
      <c r="F641" s="7" t="s">
        <v>147</v>
      </c>
      <c r="G641" s="7" t="s">
        <v>147</v>
      </c>
      <c r="H641" s="7" t="s">
        <v>147</v>
      </c>
      <c r="I641" s="7" t="s">
        <v>147</v>
      </c>
    </row>
    <row r="642" spans="1:9" ht="14.4" customHeight="1">
      <c r="A642" s="9">
        <v>3</v>
      </c>
      <c r="B642" s="111"/>
      <c r="C642" s="168" t="s">
        <v>349</v>
      </c>
      <c r="D642" s="169"/>
      <c r="E642" s="9">
        <v>36</v>
      </c>
      <c r="F642" s="7" t="s">
        <v>147</v>
      </c>
      <c r="G642" s="7" t="s">
        <v>147</v>
      </c>
      <c r="H642" s="7" t="s">
        <v>147</v>
      </c>
      <c r="I642" s="7" t="s">
        <v>147</v>
      </c>
    </row>
    <row r="643" spans="1:9" ht="14.4" customHeight="1">
      <c r="A643" s="9">
        <v>3</v>
      </c>
      <c r="B643" s="111"/>
      <c r="C643" s="168" t="s">
        <v>349</v>
      </c>
      <c r="D643" s="169"/>
      <c r="E643" s="9">
        <v>36</v>
      </c>
      <c r="F643" s="7" t="s">
        <v>147</v>
      </c>
      <c r="G643" s="7" t="s">
        <v>147</v>
      </c>
      <c r="H643" s="7" t="s">
        <v>147</v>
      </c>
      <c r="I643" s="7" t="s">
        <v>147</v>
      </c>
    </row>
    <row r="644" spans="1:9" ht="14.4" customHeight="1">
      <c r="A644" s="9">
        <v>3</v>
      </c>
      <c r="B644" s="111"/>
      <c r="C644" s="168" t="s">
        <v>349</v>
      </c>
      <c r="D644" s="169"/>
      <c r="E644" s="9">
        <v>36</v>
      </c>
      <c r="F644" s="7" t="s">
        <v>147</v>
      </c>
      <c r="G644" s="7" t="s">
        <v>147</v>
      </c>
      <c r="H644" s="7" t="s">
        <v>147</v>
      </c>
      <c r="I644" s="7" t="s">
        <v>147</v>
      </c>
    </row>
    <row r="645" spans="1:9" ht="14.4" customHeight="1">
      <c r="A645" s="9">
        <v>3</v>
      </c>
      <c r="B645" s="111"/>
      <c r="C645" s="168" t="s">
        <v>349</v>
      </c>
      <c r="D645" s="169"/>
      <c r="E645" s="9">
        <v>36</v>
      </c>
      <c r="F645" s="7" t="s">
        <v>147</v>
      </c>
      <c r="G645" s="7" t="s">
        <v>147</v>
      </c>
      <c r="H645" s="7" t="s">
        <v>147</v>
      </c>
      <c r="I645" s="7" t="s">
        <v>147</v>
      </c>
    </row>
    <row r="646" spans="1:9" ht="14.4" customHeight="1">
      <c r="A646" s="9">
        <v>3</v>
      </c>
      <c r="B646" s="111"/>
      <c r="C646" s="168" t="s">
        <v>349</v>
      </c>
      <c r="D646" s="169"/>
      <c r="E646" s="9">
        <v>36</v>
      </c>
      <c r="F646" s="7" t="s">
        <v>147</v>
      </c>
      <c r="G646" s="7" t="s">
        <v>147</v>
      </c>
      <c r="H646" s="7" t="s">
        <v>147</v>
      </c>
      <c r="I646" s="7" t="s">
        <v>147</v>
      </c>
    </row>
    <row r="647" spans="1:9" ht="14.4" customHeight="1">
      <c r="A647" s="9">
        <v>3</v>
      </c>
      <c r="B647" s="111"/>
      <c r="C647" s="168" t="s">
        <v>349</v>
      </c>
      <c r="D647" s="169"/>
      <c r="E647" s="9">
        <v>36</v>
      </c>
      <c r="F647" s="7" t="s">
        <v>147</v>
      </c>
      <c r="G647" s="7" t="s">
        <v>147</v>
      </c>
      <c r="H647" s="7" t="s">
        <v>147</v>
      </c>
      <c r="I647" s="7" t="s">
        <v>147</v>
      </c>
    </row>
    <row r="648" spans="1:9" ht="14.4" customHeight="1">
      <c r="A648" s="9">
        <v>3</v>
      </c>
      <c r="B648" s="111"/>
      <c r="C648" s="168" t="s">
        <v>349</v>
      </c>
      <c r="D648" s="169"/>
      <c r="E648" s="9">
        <v>36</v>
      </c>
      <c r="F648" s="7" t="s">
        <v>147</v>
      </c>
      <c r="G648" s="7" t="s">
        <v>147</v>
      </c>
      <c r="H648" s="7" t="s">
        <v>147</v>
      </c>
      <c r="I648" s="7" t="s">
        <v>147</v>
      </c>
    </row>
    <row r="649" spans="1:9" ht="14.4" customHeight="1">
      <c r="A649" s="9">
        <v>3</v>
      </c>
      <c r="B649" s="111"/>
      <c r="C649" s="168" t="s">
        <v>349</v>
      </c>
      <c r="D649" s="169"/>
      <c r="E649" s="9">
        <v>36</v>
      </c>
      <c r="F649" s="7" t="s">
        <v>147</v>
      </c>
      <c r="G649" s="7" t="s">
        <v>147</v>
      </c>
      <c r="H649" s="7" t="s">
        <v>147</v>
      </c>
      <c r="I649" s="7" t="s">
        <v>147</v>
      </c>
    </row>
    <row r="650" spans="1:9" ht="14.4" customHeight="1">
      <c r="A650" s="9">
        <v>3</v>
      </c>
      <c r="B650" s="111"/>
      <c r="C650" s="168" t="s">
        <v>349</v>
      </c>
      <c r="D650" s="169"/>
      <c r="E650" s="9">
        <v>36</v>
      </c>
      <c r="F650" s="7" t="s">
        <v>147</v>
      </c>
      <c r="G650" s="7" t="s">
        <v>147</v>
      </c>
      <c r="H650" s="7" t="s">
        <v>147</v>
      </c>
      <c r="I650" s="7" t="s">
        <v>147</v>
      </c>
    </row>
    <row r="651" spans="1:9" ht="14.4" customHeight="1">
      <c r="A651" s="9">
        <v>3</v>
      </c>
      <c r="B651" s="111"/>
      <c r="C651" s="168" t="s">
        <v>349</v>
      </c>
      <c r="D651" s="169"/>
      <c r="E651" s="9">
        <v>36</v>
      </c>
      <c r="F651" s="7" t="s">
        <v>147</v>
      </c>
      <c r="G651" s="7" t="s">
        <v>147</v>
      </c>
      <c r="H651" s="7" t="s">
        <v>147</v>
      </c>
      <c r="I651" s="7" t="s">
        <v>147</v>
      </c>
    </row>
    <row r="652" spans="1:9" ht="14.4" customHeight="1">
      <c r="A652" s="9">
        <v>3</v>
      </c>
      <c r="B652" s="111"/>
      <c r="C652" s="168" t="s">
        <v>349</v>
      </c>
      <c r="D652" s="169"/>
      <c r="E652" s="9">
        <v>36</v>
      </c>
      <c r="F652" s="7" t="s">
        <v>147</v>
      </c>
      <c r="G652" s="7" t="s">
        <v>147</v>
      </c>
      <c r="H652" s="7" t="s">
        <v>147</v>
      </c>
      <c r="I652" s="7" t="s">
        <v>147</v>
      </c>
    </row>
    <row r="653" spans="1:9" ht="14.4" customHeight="1">
      <c r="A653" s="9">
        <v>3</v>
      </c>
      <c r="B653" s="111"/>
      <c r="C653" s="168" t="s">
        <v>349</v>
      </c>
      <c r="D653" s="169"/>
      <c r="E653" s="9">
        <v>36</v>
      </c>
      <c r="F653" s="7" t="s">
        <v>147</v>
      </c>
      <c r="G653" s="7" t="s">
        <v>147</v>
      </c>
      <c r="H653" s="7" t="s">
        <v>147</v>
      </c>
      <c r="I653" s="7" t="s">
        <v>147</v>
      </c>
    </row>
    <row r="654" spans="1:9" ht="14.4" customHeight="1">
      <c r="A654" s="9">
        <v>3</v>
      </c>
      <c r="B654" s="111"/>
      <c r="C654" s="168" t="s">
        <v>349</v>
      </c>
      <c r="D654" s="169"/>
      <c r="E654" s="9">
        <v>36</v>
      </c>
      <c r="F654" s="7" t="s">
        <v>147</v>
      </c>
      <c r="G654" s="7" t="s">
        <v>147</v>
      </c>
      <c r="H654" s="7" t="s">
        <v>147</v>
      </c>
      <c r="I654" s="7" t="s">
        <v>147</v>
      </c>
    </row>
    <row r="655" spans="1:9" ht="14.4" customHeight="1">
      <c r="A655" s="9">
        <v>3</v>
      </c>
      <c r="B655" s="111"/>
      <c r="C655" s="168" t="s">
        <v>349</v>
      </c>
      <c r="D655" s="169"/>
      <c r="E655" s="9">
        <v>36</v>
      </c>
      <c r="F655" s="7" t="s">
        <v>147</v>
      </c>
      <c r="G655" s="7" t="s">
        <v>147</v>
      </c>
      <c r="H655" s="7" t="s">
        <v>147</v>
      </c>
      <c r="I655" s="7" t="s">
        <v>147</v>
      </c>
    </row>
    <row r="656" spans="1:9" ht="14.4" customHeight="1">
      <c r="A656" s="9">
        <v>3</v>
      </c>
      <c r="B656" s="111"/>
      <c r="C656" s="168" t="s">
        <v>349</v>
      </c>
      <c r="D656" s="169"/>
      <c r="E656" s="9">
        <v>36</v>
      </c>
      <c r="F656" s="7" t="s">
        <v>147</v>
      </c>
      <c r="G656" s="7" t="s">
        <v>147</v>
      </c>
      <c r="H656" s="7" t="s">
        <v>147</v>
      </c>
      <c r="I656" s="7" t="s">
        <v>147</v>
      </c>
    </row>
    <row r="657" spans="1:9" ht="14.4" customHeight="1">
      <c r="A657" s="9">
        <v>3</v>
      </c>
      <c r="B657" s="111"/>
      <c r="C657" s="168" t="s">
        <v>349</v>
      </c>
      <c r="D657" s="169"/>
      <c r="E657" s="9">
        <v>36</v>
      </c>
      <c r="F657" s="7" t="s">
        <v>147</v>
      </c>
      <c r="G657" s="7" t="s">
        <v>147</v>
      </c>
      <c r="H657" s="7" t="s">
        <v>147</v>
      </c>
      <c r="I657" s="7" t="s">
        <v>147</v>
      </c>
    </row>
    <row r="658" spans="1:9" ht="14.4" customHeight="1">
      <c r="A658" s="9">
        <v>3</v>
      </c>
      <c r="B658" s="111"/>
      <c r="C658" s="168" t="s">
        <v>349</v>
      </c>
      <c r="D658" s="169"/>
      <c r="E658" s="9">
        <v>36</v>
      </c>
      <c r="F658" s="7" t="s">
        <v>147</v>
      </c>
      <c r="G658" s="7" t="s">
        <v>147</v>
      </c>
      <c r="H658" s="7" t="s">
        <v>147</v>
      </c>
      <c r="I658" s="7" t="s">
        <v>147</v>
      </c>
    </row>
    <row r="659" spans="1:9" ht="14.4" customHeight="1">
      <c r="A659" s="9">
        <v>3</v>
      </c>
      <c r="B659" s="111"/>
      <c r="C659" s="168" t="s">
        <v>349</v>
      </c>
      <c r="D659" s="169"/>
      <c r="E659" s="9">
        <v>36</v>
      </c>
      <c r="F659" s="7" t="s">
        <v>147</v>
      </c>
      <c r="G659" s="7" t="s">
        <v>147</v>
      </c>
      <c r="H659" s="7" t="s">
        <v>147</v>
      </c>
      <c r="I659" s="7" t="s">
        <v>147</v>
      </c>
    </row>
    <row r="660" spans="1:9" ht="14.4" customHeight="1">
      <c r="A660" s="9">
        <v>3</v>
      </c>
      <c r="B660" s="111"/>
      <c r="C660" s="168" t="s">
        <v>349</v>
      </c>
      <c r="D660" s="169"/>
      <c r="E660" s="9">
        <v>36</v>
      </c>
      <c r="F660" s="7" t="s">
        <v>147</v>
      </c>
      <c r="G660" s="7" t="s">
        <v>147</v>
      </c>
      <c r="H660" s="7" t="s">
        <v>147</v>
      </c>
      <c r="I660" s="7" t="s">
        <v>147</v>
      </c>
    </row>
    <row r="661" spans="1:9" ht="14.4" customHeight="1">
      <c r="A661" s="9">
        <v>3</v>
      </c>
      <c r="B661" s="111"/>
      <c r="C661" s="168" t="s">
        <v>349</v>
      </c>
      <c r="D661" s="169"/>
      <c r="E661" s="9">
        <v>36</v>
      </c>
      <c r="F661" s="7" t="s">
        <v>147</v>
      </c>
      <c r="G661" s="7" t="s">
        <v>147</v>
      </c>
      <c r="H661" s="7" t="s">
        <v>147</v>
      </c>
      <c r="I661" s="7" t="s">
        <v>147</v>
      </c>
    </row>
    <row r="662" spans="1:9" ht="14.4" customHeight="1">
      <c r="A662" s="9">
        <v>3</v>
      </c>
      <c r="B662" s="111"/>
      <c r="C662" s="168" t="s">
        <v>349</v>
      </c>
      <c r="D662" s="169"/>
      <c r="E662" s="9">
        <v>36</v>
      </c>
      <c r="F662" s="7" t="s">
        <v>147</v>
      </c>
      <c r="G662" s="7" t="s">
        <v>147</v>
      </c>
      <c r="H662" s="7" t="s">
        <v>147</v>
      </c>
      <c r="I662" s="7" t="s">
        <v>147</v>
      </c>
    </row>
    <row r="663" spans="1:9" ht="14.4" customHeight="1">
      <c r="A663" s="9">
        <v>3</v>
      </c>
      <c r="B663" s="111"/>
      <c r="C663" s="168" t="s">
        <v>349</v>
      </c>
      <c r="D663" s="169"/>
      <c r="E663" s="9">
        <v>36</v>
      </c>
      <c r="F663" s="7" t="s">
        <v>147</v>
      </c>
      <c r="G663" s="7" t="s">
        <v>147</v>
      </c>
      <c r="H663" s="7" t="s">
        <v>147</v>
      </c>
      <c r="I663" s="7" t="s">
        <v>147</v>
      </c>
    </row>
    <row r="664" spans="1:9" ht="14.4" customHeight="1">
      <c r="A664" s="9">
        <v>3</v>
      </c>
      <c r="B664" s="111"/>
      <c r="C664" s="168" t="s">
        <v>349</v>
      </c>
      <c r="D664" s="169"/>
      <c r="E664" s="9">
        <v>36</v>
      </c>
      <c r="F664" s="7" t="s">
        <v>147</v>
      </c>
      <c r="G664" s="7" t="s">
        <v>147</v>
      </c>
      <c r="H664" s="7" t="s">
        <v>147</v>
      </c>
      <c r="I664" s="7" t="s">
        <v>147</v>
      </c>
    </row>
    <row r="665" spans="1:9" ht="14.4" customHeight="1">
      <c r="A665" s="9">
        <v>3</v>
      </c>
      <c r="B665" s="111"/>
      <c r="C665" s="168" t="s">
        <v>349</v>
      </c>
      <c r="D665" s="169"/>
      <c r="E665" s="9">
        <v>36</v>
      </c>
      <c r="F665" s="7" t="s">
        <v>147</v>
      </c>
      <c r="G665" s="7" t="s">
        <v>147</v>
      </c>
      <c r="H665" s="7" t="s">
        <v>147</v>
      </c>
      <c r="I665" s="7" t="s">
        <v>147</v>
      </c>
    </row>
    <row r="666" spans="1:9" ht="14.4" customHeight="1">
      <c r="A666" s="9">
        <v>3</v>
      </c>
      <c r="B666" s="111"/>
      <c r="C666" s="168" t="s">
        <v>349</v>
      </c>
      <c r="D666" s="169"/>
      <c r="E666" s="9">
        <v>36</v>
      </c>
      <c r="F666" s="7" t="s">
        <v>147</v>
      </c>
      <c r="G666" s="7" t="s">
        <v>147</v>
      </c>
      <c r="H666" s="7" t="s">
        <v>147</v>
      </c>
      <c r="I666" s="7" t="s">
        <v>147</v>
      </c>
    </row>
    <row r="667" spans="1:9" ht="14.4" customHeight="1">
      <c r="A667" s="9">
        <v>3</v>
      </c>
      <c r="B667" s="111"/>
      <c r="C667" s="168" t="s">
        <v>349</v>
      </c>
      <c r="D667" s="169"/>
      <c r="E667" s="9">
        <v>36</v>
      </c>
      <c r="F667" s="7" t="s">
        <v>147</v>
      </c>
      <c r="G667" s="7" t="s">
        <v>147</v>
      </c>
      <c r="H667" s="7" t="s">
        <v>147</v>
      </c>
      <c r="I667" s="7" t="s">
        <v>147</v>
      </c>
    </row>
    <row r="668" spans="1:9" ht="14.4" customHeight="1">
      <c r="A668" s="9">
        <v>3</v>
      </c>
      <c r="B668" s="111"/>
      <c r="C668" s="168" t="s">
        <v>349</v>
      </c>
      <c r="D668" s="169"/>
      <c r="E668" s="9">
        <v>36</v>
      </c>
      <c r="F668" s="7" t="s">
        <v>147</v>
      </c>
      <c r="G668" s="7" t="s">
        <v>147</v>
      </c>
      <c r="H668" s="7" t="s">
        <v>147</v>
      </c>
      <c r="I668" s="7" t="s">
        <v>147</v>
      </c>
    </row>
    <row r="669" spans="1:9" ht="14.4" customHeight="1">
      <c r="A669" s="9">
        <v>3</v>
      </c>
      <c r="B669" s="111"/>
      <c r="C669" s="168" t="s">
        <v>349</v>
      </c>
      <c r="D669" s="169"/>
      <c r="E669" s="9">
        <v>36</v>
      </c>
      <c r="F669" s="7" t="s">
        <v>147</v>
      </c>
      <c r="G669" s="7" t="s">
        <v>147</v>
      </c>
      <c r="H669" s="7" t="s">
        <v>147</v>
      </c>
      <c r="I669" s="7" t="s">
        <v>147</v>
      </c>
    </row>
    <row r="670" spans="1:9" ht="14.4" customHeight="1">
      <c r="A670" s="9">
        <v>3</v>
      </c>
      <c r="B670" s="111"/>
      <c r="C670" s="168" t="s">
        <v>349</v>
      </c>
      <c r="D670" s="169"/>
      <c r="E670" s="9">
        <v>36</v>
      </c>
      <c r="F670" s="7" t="s">
        <v>147</v>
      </c>
      <c r="G670" s="7" t="s">
        <v>147</v>
      </c>
      <c r="H670" s="7" t="s">
        <v>147</v>
      </c>
      <c r="I670" s="7" t="s">
        <v>147</v>
      </c>
    </row>
    <row r="671" spans="1:9" ht="14.4" customHeight="1">
      <c r="A671" s="9">
        <v>3</v>
      </c>
      <c r="B671" s="111"/>
      <c r="C671" s="168" t="s">
        <v>349</v>
      </c>
      <c r="D671" s="169"/>
      <c r="E671" s="9">
        <v>36</v>
      </c>
      <c r="F671" s="7" t="s">
        <v>147</v>
      </c>
      <c r="G671" s="7" t="s">
        <v>147</v>
      </c>
      <c r="H671" s="7" t="s">
        <v>147</v>
      </c>
      <c r="I671" s="7" t="s">
        <v>147</v>
      </c>
    </row>
    <row r="672" spans="1:9" ht="14.4" customHeight="1">
      <c r="A672" s="9">
        <v>3</v>
      </c>
      <c r="B672" s="111"/>
      <c r="C672" s="168" t="s">
        <v>349</v>
      </c>
      <c r="D672" s="169"/>
      <c r="E672" s="9">
        <v>36</v>
      </c>
      <c r="F672" s="7" t="s">
        <v>147</v>
      </c>
      <c r="G672" s="7" t="s">
        <v>147</v>
      </c>
      <c r="H672" s="7" t="s">
        <v>147</v>
      </c>
      <c r="I672" s="7" t="s">
        <v>147</v>
      </c>
    </row>
    <row r="673" spans="1:9" ht="14.4" customHeight="1">
      <c r="A673" s="9">
        <v>3</v>
      </c>
      <c r="B673" s="111"/>
      <c r="C673" s="168" t="s">
        <v>349</v>
      </c>
      <c r="D673" s="169"/>
      <c r="E673" s="9">
        <v>36</v>
      </c>
      <c r="F673" s="7" t="s">
        <v>147</v>
      </c>
      <c r="G673" s="7" t="s">
        <v>147</v>
      </c>
      <c r="H673" s="7" t="s">
        <v>147</v>
      </c>
      <c r="I673" s="7" t="s">
        <v>147</v>
      </c>
    </row>
    <row r="674" spans="1:9" ht="14.4" customHeight="1">
      <c r="A674" s="9">
        <v>3</v>
      </c>
      <c r="B674" s="111"/>
      <c r="C674" s="168" t="s">
        <v>349</v>
      </c>
      <c r="D674" s="169"/>
      <c r="E674" s="9">
        <v>36</v>
      </c>
      <c r="F674" s="7" t="s">
        <v>147</v>
      </c>
      <c r="G674" s="7" t="s">
        <v>147</v>
      </c>
      <c r="H674" s="7" t="s">
        <v>147</v>
      </c>
      <c r="I674" s="7" t="s">
        <v>147</v>
      </c>
    </row>
    <row r="675" spans="1:9" ht="14.4" customHeight="1">
      <c r="A675" s="9">
        <v>3</v>
      </c>
      <c r="B675" s="111"/>
      <c r="C675" s="168" t="s">
        <v>349</v>
      </c>
      <c r="D675" s="169"/>
      <c r="E675" s="9">
        <v>36</v>
      </c>
      <c r="F675" s="7" t="s">
        <v>147</v>
      </c>
      <c r="G675" s="7" t="s">
        <v>147</v>
      </c>
      <c r="H675" s="7" t="s">
        <v>147</v>
      </c>
      <c r="I675" s="7" t="s">
        <v>147</v>
      </c>
    </row>
    <row r="676" spans="1:9" ht="14.4" customHeight="1">
      <c r="A676" s="9">
        <v>3</v>
      </c>
      <c r="B676" s="111"/>
      <c r="C676" s="168" t="s">
        <v>349</v>
      </c>
      <c r="D676" s="169"/>
      <c r="E676" s="9">
        <v>36</v>
      </c>
      <c r="F676" s="7" t="s">
        <v>147</v>
      </c>
      <c r="G676" s="7" t="s">
        <v>147</v>
      </c>
      <c r="H676" s="7" t="s">
        <v>147</v>
      </c>
      <c r="I676" s="7" t="s">
        <v>147</v>
      </c>
    </row>
    <row r="677" spans="1:9" ht="14.4" customHeight="1">
      <c r="A677" s="9">
        <v>3</v>
      </c>
      <c r="B677" s="111"/>
      <c r="C677" s="168" t="s">
        <v>349</v>
      </c>
      <c r="D677" s="169"/>
      <c r="E677" s="9">
        <v>36</v>
      </c>
      <c r="F677" s="7" t="s">
        <v>147</v>
      </c>
      <c r="G677" s="7" t="s">
        <v>147</v>
      </c>
      <c r="H677" s="7" t="s">
        <v>147</v>
      </c>
      <c r="I677" s="7" t="s">
        <v>147</v>
      </c>
    </row>
    <row r="678" spans="1:9" ht="14.4" customHeight="1">
      <c r="A678" s="9">
        <v>3</v>
      </c>
      <c r="B678" s="111"/>
      <c r="C678" s="168" t="s">
        <v>349</v>
      </c>
      <c r="D678" s="169"/>
      <c r="E678" s="9">
        <v>36</v>
      </c>
      <c r="F678" s="7" t="s">
        <v>147</v>
      </c>
      <c r="G678" s="7" t="s">
        <v>147</v>
      </c>
      <c r="H678" s="7" t="s">
        <v>147</v>
      </c>
      <c r="I678" s="7" t="s">
        <v>147</v>
      </c>
    </row>
    <row r="679" spans="1:9" ht="14.4" customHeight="1">
      <c r="A679" s="9">
        <v>3</v>
      </c>
      <c r="B679" s="111"/>
      <c r="C679" s="168" t="s">
        <v>349</v>
      </c>
      <c r="D679" s="169"/>
      <c r="E679" s="9">
        <v>36</v>
      </c>
      <c r="F679" s="7" t="s">
        <v>147</v>
      </c>
      <c r="G679" s="7" t="s">
        <v>147</v>
      </c>
      <c r="H679" s="7" t="s">
        <v>147</v>
      </c>
      <c r="I679" s="7" t="s">
        <v>147</v>
      </c>
    </row>
    <row r="680" spans="1:9" ht="14.4" customHeight="1">
      <c r="A680" s="9">
        <v>3</v>
      </c>
      <c r="B680" s="111"/>
      <c r="C680" s="168" t="s">
        <v>349</v>
      </c>
      <c r="D680" s="169"/>
      <c r="E680" s="9">
        <v>36</v>
      </c>
      <c r="F680" s="7" t="s">
        <v>147</v>
      </c>
      <c r="G680" s="7" t="s">
        <v>147</v>
      </c>
      <c r="H680" s="7" t="s">
        <v>147</v>
      </c>
      <c r="I680" s="7" t="s">
        <v>147</v>
      </c>
    </row>
    <row r="681" spans="1:9" ht="14.4" customHeight="1">
      <c r="A681" s="9">
        <v>3</v>
      </c>
      <c r="B681" s="111"/>
      <c r="C681" s="168" t="s">
        <v>349</v>
      </c>
      <c r="D681" s="169"/>
      <c r="E681" s="9">
        <v>36</v>
      </c>
      <c r="F681" s="7" t="s">
        <v>147</v>
      </c>
      <c r="G681" s="7" t="s">
        <v>147</v>
      </c>
      <c r="H681" s="7" t="s">
        <v>147</v>
      </c>
      <c r="I681" s="7" t="s">
        <v>147</v>
      </c>
    </row>
    <row r="682" spans="1:9" ht="14.4" customHeight="1">
      <c r="A682" s="9">
        <v>3</v>
      </c>
      <c r="B682" s="111"/>
      <c r="C682" s="168" t="s">
        <v>349</v>
      </c>
      <c r="D682" s="169"/>
      <c r="E682" s="9">
        <v>36</v>
      </c>
      <c r="F682" s="7" t="s">
        <v>147</v>
      </c>
      <c r="G682" s="7" t="s">
        <v>147</v>
      </c>
      <c r="H682" s="7" t="s">
        <v>147</v>
      </c>
      <c r="I682" s="7" t="s">
        <v>147</v>
      </c>
    </row>
    <row r="683" spans="1:9" ht="14.4" customHeight="1">
      <c r="A683" s="9">
        <v>3</v>
      </c>
      <c r="B683" s="111"/>
      <c r="C683" s="168" t="s">
        <v>349</v>
      </c>
      <c r="D683" s="169"/>
      <c r="E683" s="9">
        <v>36</v>
      </c>
      <c r="F683" s="7" t="s">
        <v>147</v>
      </c>
      <c r="G683" s="7" t="s">
        <v>147</v>
      </c>
      <c r="H683" s="7" t="s">
        <v>147</v>
      </c>
      <c r="I683" s="7" t="s">
        <v>147</v>
      </c>
    </row>
    <row r="684" spans="1:9" ht="14.4" customHeight="1">
      <c r="A684" s="9">
        <v>3</v>
      </c>
      <c r="B684" s="111"/>
      <c r="C684" s="168" t="s">
        <v>349</v>
      </c>
      <c r="D684" s="169"/>
      <c r="E684" s="9">
        <v>36</v>
      </c>
      <c r="F684" s="7" t="s">
        <v>147</v>
      </c>
      <c r="G684" s="7" t="s">
        <v>147</v>
      </c>
      <c r="H684" s="7" t="s">
        <v>147</v>
      </c>
      <c r="I684" s="7" t="s">
        <v>147</v>
      </c>
    </row>
    <row r="685" spans="1:9" ht="14.4" customHeight="1">
      <c r="A685" s="9">
        <v>3</v>
      </c>
      <c r="B685" s="111"/>
      <c r="C685" s="168" t="s">
        <v>349</v>
      </c>
      <c r="D685" s="169"/>
      <c r="E685" s="9">
        <v>36</v>
      </c>
      <c r="F685" s="7" t="s">
        <v>147</v>
      </c>
      <c r="G685" s="7" t="s">
        <v>147</v>
      </c>
      <c r="H685" s="7" t="s">
        <v>147</v>
      </c>
      <c r="I685" s="7" t="s">
        <v>147</v>
      </c>
    </row>
    <row r="686" spans="1:9" ht="14.4" customHeight="1">
      <c r="A686" s="9">
        <v>3</v>
      </c>
      <c r="B686" s="111"/>
      <c r="C686" s="168" t="s">
        <v>349</v>
      </c>
      <c r="D686" s="169"/>
      <c r="E686" s="9">
        <v>36</v>
      </c>
      <c r="F686" s="7" t="s">
        <v>147</v>
      </c>
      <c r="G686" s="7" t="s">
        <v>147</v>
      </c>
      <c r="H686" s="7" t="s">
        <v>147</v>
      </c>
      <c r="I686" s="7" t="s">
        <v>147</v>
      </c>
    </row>
    <row r="687" spans="1:9" ht="14.4" customHeight="1">
      <c r="A687" s="9">
        <v>3</v>
      </c>
      <c r="B687" s="111"/>
      <c r="C687" s="168" t="s">
        <v>349</v>
      </c>
      <c r="D687" s="169"/>
      <c r="E687" s="9">
        <v>36</v>
      </c>
      <c r="F687" s="7" t="s">
        <v>147</v>
      </c>
      <c r="G687" s="7" t="s">
        <v>147</v>
      </c>
      <c r="H687" s="7" t="s">
        <v>147</v>
      </c>
      <c r="I687" s="7" t="s">
        <v>147</v>
      </c>
    </row>
    <row r="688" spans="1:9" ht="14.4" customHeight="1">
      <c r="A688" s="9">
        <v>3</v>
      </c>
      <c r="B688" s="111"/>
      <c r="C688" s="168" t="s">
        <v>349</v>
      </c>
      <c r="D688" s="169"/>
      <c r="E688" s="9">
        <v>36</v>
      </c>
      <c r="F688" s="7" t="s">
        <v>147</v>
      </c>
      <c r="G688" s="7" t="s">
        <v>147</v>
      </c>
      <c r="H688" s="7" t="s">
        <v>147</v>
      </c>
      <c r="I688" s="7" t="s">
        <v>147</v>
      </c>
    </row>
    <row r="689" spans="1:9" ht="14.4" customHeight="1">
      <c r="A689" s="9">
        <v>3</v>
      </c>
      <c r="B689" s="111"/>
      <c r="C689" s="168" t="s">
        <v>349</v>
      </c>
      <c r="D689" s="169"/>
      <c r="E689" s="9">
        <v>36</v>
      </c>
      <c r="F689" s="7" t="s">
        <v>147</v>
      </c>
      <c r="G689" s="7" t="s">
        <v>147</v>
      </c>
      <c r="H689" s="7" t="s">
        <v>147</v>
      </c>
      <c r="I689" s="7" t="s">
        <v>147</v>
      </c>
    </row>
    <row r="690" spans="1:9" ht="14.4" customHeight="1">
      <c r="A690" s="9">
        <v>3</v>
      </c>
      <c r="B690" s="111"/>
      <c r="C690" s="168" t="s">
        <v>349</v>
      </c>
      <c r="D690" s="169"/>
      <c r="E690" s="9">
        <v>36</v>
      </c>
      <c r="F690" s="7" t="s">
        <v>147</v>
      </c>
      <c r="G690" s="7" t="s">
        <v>147</v>
      </c>
      <c r="H690" s="7" t="s">
        <v>147</v>
      </c>
      <c r="I690" s="7" t="s">
        <v>147</v>
      </c>
    </row>
    <row r="691" spans="1:9" ht="14.4" customHeight="1">
      <c r="A691" s="9">
        <v>3</v>
      </c>
      <c r="B691" s="111"/>
      <c r="C691" s="168" t="s">
        <v>349</v>
      </c>
      <c r="D691" s="169"/>
      <c r="E691" s="9">
        <v>36</v>
      </c>
      <c r="F691" s="7" t="s">
        <v>147</v>
      </c>
      <c r="G691" s="7" t="s">
        <v>147</v>
      </c>
      <c r="H691" s="7" t="s">
        <v>147</v>
      </c>
      <c r="I691" s="7" t="s">
        <v>147</v>
      </c>
    </row>
    <row r="692" spans="1:9" ht="14.4" customHeight="1">
      <c r="A692" s="9">
        <v>3</v>
      </c>
      <c r="B692" s="111"/>
      <c r="C692" s="168" t="s">
        <v>349</v>
      </c>
      <c r="D692" s="169"/>
      <c r="E692" s="9">
        <v>36</v>
      </c>
      <c r="F692" s="7" t="s">
        <v>147</v>
      </c>
      <c r="G692" s="7" t="s">
        <v>147</v>
      </c>
      <c r="H692" s="7" t="s">
        <v>147</v>
      </c>
      <c r="I692" s="7" t="s">
        <v>147</v>
      </c>
    </row>
    <row r="693" spans="1:9" ht="14.4" customHeight="1">
      <c r="A693" s="9">
        <v>3</v>
      </c>
      <c r="B693" s="111"/>
      <c r="C693" s="168" t="s">
        <v>349</v>
      </c>
      <c r="D693" s="169"/>
      <c r="E693" s="9">
        <v>36</v>
      </c>
      <c r="F693" s="7" t="s">
        <v>147</v>
      </c>
      <c r="G693" s="7" t="s">
        <v>147</v>
      </c>
      <c r="H693" s="7" t="s">
        <v>147</v>
      </c>
      <c r="I693" s="7" t="s">
        <v>147</v>
      </c>
    </row>
    <row r="694" spans="1:9" ht="14.4" customHeight="1">
      <c r="A694" s="9">
        <v>3</v>
      </c>
      <c r="B694" s="111"/>
      <c r="C694" s="168" t="s">
        <v>349</v>
      </c>
      <c r="D694" s="169"/>
      <c r="E694" s="9">
        <v>36</v>
      </c>
      <c r="F694" s="7" t="s">
        <v>147</v>
      </c>
      <c r="G694" s="7" t="s">
        <v>147</v>
      </c>
      <c r="H694" s="7" t="s">
        <v>147</v>
      </c>
      <c r="I694" s="7" t="s">
        <v>147</v>
      </c>
    </row>
    <row r="695" spans="1:9" ht="14.4" customHeight="1">
      <c r="A695" s="9">
        <v>3</v>
      </c>
      <c r="B695" s="111"/>
      <c r="C695" s="168" t="s">
        <v>349</v>
      </c>
      <c r="D695" s="169"/>
      <c r="E695" s="9">
        <v>36</v>
      </c>
      <c r="F695" s="7" t="s">
        <v>147</v>
      </c>
      <c r="G695" s="7" t="s">
        <v>147</v>
      </c>
      <c r="H695" s="7" t="s">
        <v>147</v>
      </c>
      <c r="I695" s="7" t="s">
        <v>147</v>
      </c>
    </row>
    <row r="696" spans="1:9" ht="14.4" customHeight="1">
      <c r="A696" s="9">
        <v>3</v>
      </c>
      <c r="B696" s="111"/>
      <c r="C696" s="168" t="s">
        <v>349</v>
      </c>
      <c r="D696" s="169"/>
      <c r="E696" s="9">
        <v>36</v>
      </c>
      <c r="F696" s="7" t="s">
        <v>147</v>
      </c>
      <c r="G696" s="7" t="s">
        <v>147</v>
      </c>
      <c r="H696" s="7" t="s">
        <v>147</v>
      </c>
      <c r="I696" s="7" t="s">
        <v>147</v>
      </c>
    </row>
    <row r="697" spans="1:9" ht="14.4" customHeight="1">
      <c r="A697" s="9">
        <v>3</v>
      </c>
      <c r="B697" s="111"/>
      <c r="C697" s="168" t="s">
        <v>349</v>
      </c>
      <c r="D697" s="169"/>
      <c r="E697" s="9">
        <v>36</v>
      </c>
      <c r="F697" s="7" t="s">
        <v>147</v>
      </c>
      <c r="G697" s="7" t="s">
        <v>147</v>
      </c>
      <c r="H697" s="7" t="s">
        <v>147</v>
      </c>
      <c r="I697" s="7" t="s">
        <v>147</v>
      </c>
    </row>
    <row r="698" spans="1:9" ht="14.4" customHeight="1">
      <c r="A698" s="9">
        <v>3</v>
      </c>
      <c r="B698" s="111"/>
      <c r="C698" s="168" t="s">
        <v>349</v>
      </c>
      <c r="D698" s="169"/>
      <c r="E698" s="9">
        <v>36</v>
      </c>
      <c r="F698" s="7" t="s">
        <v>147</v>
      </c>
      <c r="G698" s="7" t="s">
        <v>147</v>
      </c>
      <c r="H698" s="7" t="s">
        <v>147</v>
      </c>
      <c r="I698" s="7" t="s">
        <v>147</v>
      </c>
    </row>
    <row r="699" spans="1:9" ht="14.4" customHeight="1">
      <c r="A699" s="9">
        <v>3</v>
      </c>
      <c r="B699" s="111"/>
      <c r="C699" s="168" t="s">
        <v>349</v>
      </c>
      <c r="D699" s="169"/>
      <c r="E699" s="9">
        <v>36</v>
      </c>
      <c r="F699" s="7" t="s">
        <v>147</v>
      </c>
      <c r="G699" s="7" t="s">
        <v>147</v>
      </c>
      <c r="H699" s="7" t="s">
        <v>147</v>
      </c>
      <c r="I699" s="7" t="s">
        <v>147</v>
      </c>
    </row>
    <row r="700" spans="1:9" ht="14.4" customHeight="1">
      <c r="A700" s="9">
        <v>3</v>
      </c>
      <c r="B700" s="111"/>
      <c r="C700" s="168" t="s">
        <v>349</v>
      </c>
      <c r="D700" s="169"/>
      <c r="E700" s="9">
        <v>36</v>
      </c>
      <c r="F700" s="7" t="s">
        <v>147</v>
      </c>
      <c r="G700" s="7" t="s">
        <v>147</v>
      </c>
      <c r="H700" s="7" t="s">
        <v>147</v>
      </c>
      <c r="I700" s="7" t="s">
        <v>147</v>
      </c>
    </row>
    <row r="701" spans="1:9" ht="14.4" customHeight="1">
      <c r="A701" s="9">
        <v>3</v>
      </c>
      <c r="B701" s="111"/>
      <c r="C701" s="168" t="s">
        <v>349</v>
      </c>
      <c r="D701" s="169"/>
      <c r="E701" s="9">
        <v>36</v>
      </c>
      <c r="F701" s="7" t="s">
        <v>147</v>
      </c>
      <c r="G701" s="7" t="s">
        <v>147</v>
      </c>
      <c r="H701" s="7" t="s">
        <v>147</v>
      </c>
      <c r="I701" s="7" t="s">
        <v>147</v>
      </c>
    </row>
    <row r="702" spans="1:9" ht="14.4" customHeight="1">
      <c r="A702" s="9">
        <v>3</v>
      </c>
      <c r="B702" s="111"/>
      <c r="C702" s="168" t="s">
        <v>349</v>
      </c>
      <c r="D702" s="169"/>
      <c r="E702" s="9">
        <v>36</v>
      </c>
      <c r="F702" s="7" t="s">
        <v>147</v>
      </c>
      <c r="G702" s="7" t="s">
        <v>147</v>
      </c>
      <c r="H702" s="7" t="s">
        <v>147</v>
      </c>
      <c r="I702" s="7" t="s">
        <v>147</v>
      </c>
    </row>
    <row r="703" spans="1:9" ht="14.4" customHeight="1">
      <c r="A703" s="9">
        <v>3</v>
      </c>
      <c r="B703" s="111"/>
      <c r="C703" s="168" t="s">
        <v>349</v>
      </c>
      <c r="D703" s="169"/>
      <c r="E703" s="9">
        <v>36</v>
      </c>
      <c r="F703" s="7" t="s">
        <v>147</v>
      </c>
      <c r="G703" s="7" t="s">
        <v>147</v>
      </c>
      <c r="H703" s="7" t="s">
        <v>147</v>
      </c>
      <c r="I703" s="7" t="s">
        <v>147</v>
      </c>
    </row>
    <row r="704" spans="1:9" ht="14.4" customHeight="1">
      <c r="A704" s="9">
        <v>3</v>
      </c>
      <c r="B704" s="111"/>
      <c r="C704" s="168" t="s">
        <v>349</v>
      </c>
      <c r="D704" s="169"/>
      <c r="E704" s="9">
        <v>36</v>
      </c>
      <c r="F704" s="7" t="s">
        <v>147</v>
      </c>
      <c r="G704" s="7" t="s">
        <v>147</v>
      </c>
      <c r="H704" s="7" t="s">
        <v>147</v>
      </c>
      <c r="I704" s="7" t="s">
        <v>147</v>
      </c>
    </row>
    <row r="705" spans="1:9" ht="14.4" customHeight="1">
      <c r="A705" s="9">
        <v>3</v>
      </c>
      <c r="B705" s="111"/>
      <c r="C705" s="168" t="s">
        <v>349</v>
      </c>
      <c r="D705" s="169"/>
      <c r="E705" s="9">
        <v>36</v>
      </c>
      <c r="F705" s="7" t="s">
        <v>147</v>
      </c>
      <c r="G705" s="7" t="s">
        <v>147</v>
      </c>
      <c r="H705" s="7" t="s">
        <v>147</v>
      </c>
      <c r="I705" s="7" t="s">
        <v>147</v>
      </c>
    </row>
    <row r="706" spans="1:9" ht="14.4" customHeight="1">
      <c r="A706" s="9">
        <v>3</v>
      </c>
      <c r="B706" s="111"/>
      <c r="C706" s="168" t="s">
        <v>349</v>
      </c>
      <c r="D706" s="169"/>
      <c r="E706" s="9">
        <v>36</v>
      </c>
      <c r="F706" s="7" t="s">
        <v>147</v>
      </c>
      <c r="G706" s="7" t="s">
        <v>147</v>
      </c>
      <c r="H706" s="7" t="s">
        <v>147</v>
      </c>
      <c r="I706" s="7" t="s">
        <v>147</v>
      </c>
    </row>
    <row r="707" spans="1:9" ht="14.4" customHeight="1">
      <c r="A707" s="9">
        <v>3</v>
      </c>
      <c r="B707" s="111"/>
      <c r="C707" s="168" t="s">
        <v>349</v>
      </c>
      <c r="D707" s="169"/>
      <c r="E707" s="9">
        <v>36</v>
      </c>
      <c r="F707" s="7" t="s">
        <v>147</v>
      </c>
      <c r="G707" s="7" t="s">
        <v>147</v>
      </c>
      <c r="H707" s="7" t="s">
        <v>147</v>
      </c>
      <c r="I707" s="7" t="s">
        <v>147</v>
      </c>
    </row>
    <row r="708" spans="1:9" ht="14.4" customHeight="1">
      <c r="A708" s="9">
        <v>3</v>
      </c>
      <c r="B708" s="111"/>
      <c r="C708" s="168" t="s">
        <v>349</v>
      </c>
      <c r="D708" s="169"/>
      <c r="E708" s="9">
        <v>36</v>
      </c>
      <c r="F708" s="7" t="s">
        <v>147</v>
      </c>
      <c r="G708" s="7" t="s">
        <v>147</v>
      </c>
      <c r="H708" s="7" t="s">
        <v>147</v>
      </c>
      <c r="I708" s="7" t="s">
        <v>147</v>
      </c>
    </row>
    <row r="709" spans="1:9" ht="14.4" customHeight="1">
      <c r="A709" s="9">
        <v>3</v>
      </c>
      <c r="B709" s="111"/>
      <c r="C709" s="168" t="s">
        <v>349</v>
      </c>
      <c r="D709" s="169"/>
      <c r="E709" s="9">
        <v>36</v>
      </c>
      <c r="F709" s="7" t="s">
        <v>147</v>
      </c>
      <c r="G709" s="7" t="s">
        <v>147</v>
      </c>
      <c r="H709" s="7" t="s">
        <v>147</v>
      </c>
      <c r="I709" s="7" t="s">
        <v>147</v>
      </c>
    </row>
    <row r="710" spans="1:9" ht="14.4" customHeight="1">
      <c r="A710" s="9">
        <v>3</v>
      </c>
      <c r="B710" s="111"/>
      <c r="C710" s="168" t="s">
        <v>349</v>
      </c>
      <c r="D710" s="169"/>
      <c r="E710" s="9">
        <v>36</v>
      </c>
      <c r="F710" s="7" t="s">
        <v>147</v>
      </c>
      <c r="G710" s="7" t="s">
        <v>147</v>
      </c>
      <c r="H710" s="7" t="s">
        <v>147</v>
      </c>
      <c r="I710" s="7" t="s">
        <v>147</v>
      </c>
    </row>
    <row r="711" spans="1:9" ht="14.4" customHeight="1">
      <c r="A711" s="9">
        <v>3</v>
      </c>
      <c r="B711" s="111"/>
      <c r="C711" s="168" t="s">
        <v>349</v>
      </c>
      <c r="D711" s="169"/>
      <c r="E711" s="9">
        <v>36</v>
      </c>
      <c r="F711" s="7" t="s">
        <v>147</v>
      </c>
      <c r="G711" s="7" t="s">
        <v>147</v>
      </c>
      <c r="H711" s="7" t="s">
        <v>147</v>
      </c>
      <c r="I711" s="7" t="s">
        <v>147</v>
      </c>
    </row>
    <row r="712" spans="1:9" ht="14.4" customHeight="1">
      <c r="A712" s="9">
        <v>3</v>
      </c>
      <c r="B712" s="111"/>
      <c r="C712" s="168" t="s">
        <v>349</v>
      </c>
      <c r="D712" s="169"/>
      <c r="E712" s="9">
        <v>36</v>
      </c>
      <c r="F712" s="7" t="s">
        <v>147</v>
      </c>
      <c r="G712" s="7" t="s">
        <v>147</v>
      </c>
      <c r="H712" s="7" t="s">
        <v>147</v>
      </c>
      <c r="I712" s="7" t="s">
        <v>147</v>
      </c>
    </row>
    <row r="713" spans="1:9" ht="14.4" customHeight="1">
      <c r="A713" s="9">
        <v>3</v>
      </c>
      <c r="B713" s="111"/>
      <c r="C713" s="168" t="s">
        <v>349</v>
      </c>
      <c r="D713" s="169"/>
      <c r="E713" s="9">
        <v>36</v>
      </c>
      <c r="F713" s="7" t="s">
        <v>147</v>
      </c>
      <c r="G713" s="7" t="s">
        <v>147</v>
      </c>
      <c r="H713" s="7" t="s">
        <v>147</v>
      </c>
      <c r="I713" s="7" t="s">
        <v>147</v>
      </c>
    </row>
    <row r="714" spans="1:9" ht="14.4" customHeight="1">
      <c r="A714" s="9">
        <v>3</v>
      </c>
      <c r="B714" s="111"/>
      <c r="C714" s="168" t="s">
        <v>349</v>
      </c>
      <c r="D714" s="169"/>
      <c r="E714" s="9">
        <v>36</v>
      </c>
      <c r="F714" s="7" t="s">
        <v>147</v>
      </c>
      <c r="G714" s="7" t="s">
        <v>147</v>
      </c>
      <c r="H714" s="7" t="s">
        <v>147</v>
      </c>
      <c r="I714" s="7" t="s">
        <v>147</v>
      </c>
    </row>
    <row r="715" spans="1:9" ht="14.4" customHeight="1">
      <c r="A715" s="9">
        <v>3</v>
      </c>
      <c r="B715" s="111"/>
      <c r="C715" s="168" t="s">
        <v>349</v>
      </c>
      <c r="D715" s="169"/>
      <c r="E715" s="9">
        <v>36</v>
      </c>
      <c r="F715" s="7" t="s">
        <v>147</v>
      </c>
      <c r="G715" s="7" t="s">
        <v>147</v>
      </c>
      <c r="H715" s="7" t="s">
        <v>147</v>
      </c>
      <c r="I715" s="7" t="s">
        <v>147</v>
      </c>
    </row>
    <row r="716" spans="1:9" ht="14.4" customHeight="1">
      <c r="A716" s="9">
        <v>3</v>
      </c>
      <c r="B716" s="111"/>
      <c r="C716" s="168" t="s">
        <v>349</v>
      </c>
      <c r="D716" s="169"/>
      <c r="E716" s="9">
        <v>36</v>
      </c>
      <c r="F716" s="7" t="s">
        <v>147</v>
      </c>
      <c r="G716" s="7" t="s">
        <v>147</v>
      </c>
      <c r="H716" s="7" t="s">
        <v>147</v>
      </c>
      <c r="I716" s="7" t="s">
        <v>147</v>
      </c>
    </row>
    <row r="717" spans="1:9" ht="14.4" customHeight="1">
      <c r="A717" s="9">
        <v>3</v>
      </c>
      <c r="B717" s="111"/>
      <c r="C717" s="168" t="s">
        <v>349</v>
      </c>
      <c r="D717" s="169"/>
      <c r="E717" s="9">
        <v>36</v>
      </c>
      <c r="F717" s="7" t="s">
        <v>147</v>
      </c>
      <c r="G717" s="7" t="s">
        <v>147</v>
      </c>
      <c r="H717" s="7" t="s">
        <v>147</v>
      </c>
      <c r="I717" s="7" t="s">
        <v>147</v>
      </c>
    </row>
    <row r="718" spans="1:9" ht="14.4" customHeight="1">
      <c r="A718" s="9">
        <v>3</v>
      </c>
      <c r="B718" s="111"/>
      <c r="C718" s="168" t="s">
        <v>349</v>
      </c>
      <c r="D718" s="169"/>
      <c r="E718" s="9">
        <v>36</v>
      </c>
      <c r="F718" s="7" t="s">
        <v>147</v>
      </c>
      <c r="G718" s="7" t="s">
        <v>147</v>
      </c>
      <c r="H718" s="7" t="s">
        <v>147</v>
      </c>
      <c r="I718" s="7" t="s">
        <v>147</v>
      </c>
    </row>
    <row r="719" spans="1:9" ht="14.4" customHeight="1">
      <c r="A719" s="9">
        <v>3</v>
      </c>
      <c r="B719" s="111"/>
      <c r="C719" s="168" t="s">
        <v>349</v>
      </c>
      <c r="D719" s="169"/>
      <c r="E719" s="9">
        <v>36</v>
      </c>
      <c r="F719" s="7" t="s">
        <v>147</v>
      </c>
      <c r="G719" s="7" t="s">
        <v>147</v>
      </c>
      <c r="H719" s="7" t="s">
        <v>147</v>
      </c>
      <c r="I719" s="7" t="s">
        <v>147</v>
      </c>
    </row>
    <row r="720" spans="1:9" ht="14.4" customHeight="1">
      <c r="A720" s="9">
        <v>3</v>
      </c>
      <c r="B720" s="111"/>
      <c r="C720" s="168" t="s">
        <v>349</v>
      </c>
      <c r="D720" s="169"/>
      <c r="E720" s="9">
        <v>36</v>
      </c>
      <c r="F720" s="7" t="s">
        <v>147</v>
      </c>
      <c r="G720" s="7" t="s">
        <v>147</v>
      </c>
      <c r="H720" s="7" t="s">
        <v>147</v>
      </c>
      <c r="I720" s="7" t="s">
        <v>147</v>
      </c>
    </row>
    <row r="721" spans="1:9" ht="14.4" customHeight="1">
      <c r="A721" s="9">
        <v>3</v>
      </c>
      <c r="B721" s="111"/>
      <c r="C721" s="168" t="s">
        <v>349</v>
      </c>
      <c r="D721" s="169"/>
      <c r="E721" s="9">
        <v>36</v>
      </c>
      <c r="F721" s="7" t="s">
        <v>147</v>
      </c>
      <c r="G721" s="7" t="s">
        <v>147</v>
      </c>
      <c r="H721" s="7" t="s">
        <v>147</v>
      </c>
      <c r="I721" s="7" t="s">
        <v>147</v>
      </c>
    </row>
    <row r="722" spans="1:9" ht="14.4" customHeight="1">
      <c r="A722" s="9">
        <v>3</v>
      </c>
      <c r="B722" s="111"/>
      <c r="C722" s="168" t="s">
        <v>349</v>
      </c>
      <c r="D722" s="169"/>
      <c r="E722" s="9">
        <v>36</v>
      </c>
      <c r="F722" s="7" t="s">
        <v>147</v>
      </c>
      <c r="G722" s="7" t="s">
        <v>147</v>
      </c>
      <c r="H722" s="7" t="s">
        <v>147</v>
      </c>
      <c r="I722" s="7" t="s">
        <v>147</v>
      </c>
    </row>
    <row r="723" spans="1:9" ht="14.4" customHeight="1">
      <c r="A723" s="9">
        <v>3</v>
      </c>
      <c r="B723" s="111"/>
      <c r="C723" s="168" t="s">
        <v>349</v>
      </c>
      <c r="D723" s="169"/>
      <c r="E723" s="9">
        <v>36</v>
      </c>
      <c r="F723" s="7" t="s">
        <v>147</v>
      </c>
      <c r="G723" s="7" t="s">
        <v>147</v>
      </c>
      <c r="H723" s="7" t="s">
        <v>147</v>
      </c>
      <c r="I723" s="7" t="s">
        <v>147</v>
      </c>
    </row>
    <row r="724" spans="1:9" ht="14.4" customHeight="1">
      <c r="A724" s="9">
        <v>3</v>
      </c>
      <c r="B724" s="111"/>
      <c r="C724" s="168" t="s">
        <v>349</v>
      </c>
      <c r="D724" s="169"/>
      <c r="E724" s="9">
        <v>36</v>
      </c>
      <c r="F724" s="7" t="s">
        <v>147</v>
      </c>
      <c r="G724" s="7" t="s">
        <v>147</v>
      </c>
      <c r="H724" s="7" t="s">
        <v>147</v>
      </c>
      <c r="I724" s="7" t="s">
        <v>147</v>
      </c>
    </row>
    <row r="725" spans="1:9" ht="14.4" customHeight="1">
      <c r="A725" s="9">
        <v>3</v>
      </c>
      <c r="B725" s="111"/>
      <c r="C725" s="168" t="s">
        <v>349</v>
      </c>
      <c r="D725" s="169"/>
      <c r="E725" s="9">
        <v>36</v>
      </c>
      <c r="F725" s="7" t="s">
        <v>147</v>
      </c>
      <c r="G725" s="7" t="s">
        <v>147</v>
      </c>
      <c r="H725" s="7" t="s">
        <v>147</v>
      </c>
      <c r="I725" s="7" t="s">
        <v>147</v>
      </c>
    </row>
    <row r="726" spans="1:9" ht="14.4" customHeight="1">
      <c r="A726" s="9">
        <v>3</v>
      </c>
      <c r="B726" s="111"/>
      <c r="C726" s="168" t="s">
        <v>349</v>
      </c>
      <c r="D726" s="169"/>
      <c r="E726" s="9">
        <v>36</v>
      </c>
      <c r="F726" s="7" t="s">
        <v>147</v>
      </c>
      <c r="G726" s="7" t="s">
        <v>147</v>
      </c>
      <c r="H726" s="7" t="s">
        <v>147</v>
      </c>
      <c r="I726" s="7" t="s">
        <v>147</v>
      </c>
    </row>
    <row r="727" spans="1:9" ht="14.4" customHeight="1">
      <c r="A727" s="9">
        <v>3</v>
      </c>
      <c r="B727" s="111"/>
      <c r="C727" s="168" t="s">
        <v>349</v>
      </c>
      <c r="D727" s="169"/>
      <c r="E727" s="9">
        <v>36</v>
      </c>
      <c r="F727" s="7" t="s">
        <v>147</v>
      </c>
      <c r="G727" s="7" t="s">
        <v>147</v>
      </c>
      <c r="H727" s="7" t="s">
        <v>147</v>
      </c>
      <c r="I727" s="7" t="s">
        <v>147</v>
      </c>
    </row>
    <row r="728" spans="1:9" ht="14.4" customHeight="1">
      <c r="A728" s="9">
        <v>3</v>
      </c>
      <c r="B728" s="111"/>
      <c r="C728" s="168" t="s">
        <v>349</v>
      </c>
      <c r="D728" s="169"/>
      <c r="E728" s="9">
        <v>36</v>
      </c>
      <c r="F728" s="7" t="s">
        <v>147</v>
      </c>
      <c r="G728" s="7" t="s">
        <v>147</v>
      </c>
      <c r="H728" s="7" t="s">
        <v>147</v>
      </c>
      <c r="I728" s="7" t="s">
        <v>147</v>
      </c>
    </row>
    <row r="729" spans="1:9" ht="14.4" customHeight="1">
      <c r="A729" s="9">
        <v>3</v>
      </c>
      <c r="B729" s="111"/>
      <c r="C729" s="168" t="s">
        <v>349</v>
      </c>
      <c r="D729" s="169"/>
      <c r="E729" s="9">
        <v>36</v>
      </c>
      <c r="F729" s="7" t="s">
        <v>147</v>
      </c>
      <c r="G729" s="7" t="s">
        <v>147</v>
      </c>
      <c r="H729" s="7" t="s">
        <v>147</v>
      </c>
      <c r="I729" s="7" t="s">
        <v>147</v>
      </c>
    </row>
    <row r="730" spans="1:9" ht="14.4" customHeight="1">
      <c r="A730" s="9">
        <v>3</v>
      </c>
      <c r="B730" s="111"/>
      <c r="C730" s="168" t="s">
        <v>349</v>
      </c>
      <c r="D730" s="169"/>
      <c r="E730" s="9">
        <v>36</v>
      </c>
      <c r="F730" s="7" t="s">
        <v>147</v>
      </c>
      <c r="G730" s="7" t="s">
        <v>147</v>
      </c>
      <c r="H730" s="7" t="s">
        <v>147</v>
      </c>
      <c r="I730" s="7" t="s">
        <v>147</v>
      </c>
    </row>
    <row r="731" spans="1:9" ht="14.4" customHeight="1">
      <c r="A731" s="9">
        <v>3</v>
      </c>
      <c r="B731" s="111"/>
      <c r="C731" s="168" t="s">
        <v>349</v>
      </c>
      <c r="D731" s="169"/>
      <c r="E731" s="9">
        <v>36</v>
      </c>
      <c r="F731" s="7" t="s">
        <v>147</v>
      </c>
      <c r="G731" s="7" t="s">
        <v>147</v>
      </c>
      <c r="H731" s="7" t="s">
        <v>147</v>
      </c>
      <c r="I731" s="7" t="s">
        <v>147</v>
      </c>
    </row>
    <row r="732" spans="1:9" ht="14.4" customHeight="1">
      <c r="A732" s="9">
        <v>3</v>
      </c>
      <c r="B732" s="111"/>
      <c r="C732" s="168" t="s">
        <v>349</v>
      </c>
      <c r="D732" s="169"/>
      <c r="E732" s="9">
        <v>36</v>
      </c>
      <c r="F732" s="7" t="s">
        <v>147</v>
      </c>
      <c r="G732" s="7" t="s">
        <v>147</v>
      </c>
      <c r="H732" s="7" t="s">
        <v>147</v>
      </c>
      <c r="I732" s="7" t="s">
        <v>147</v>
      </c>
    </row>
    <row r="733" spans="1:9" ht="14.4" customHeight="1">
      <c r="A733" s="9">
        <v>3</v>
      </c>
      <c r="B733" s="111"/>
      <c r="C733" s="168" t="s">
        <v>349</v>
      </c>
      <c r="D733" s="169"/>
      <c r="E733" s="9">
        <v>36</v>
      </c>
      <c r="F733" s="7" t="s">
        <v>147</v>
      </c>
      <c r="G733" s="7" t="s">
        <v>147</v>
      </c>
      <c r="H733" s="7" t="s">
        <v>147</v>
      </c>
      <c r="I733" s="7" t="s">
        <v>147</v>
      </c>
    </row>
    <row r="734" spans="1:9" ht="14.4" customHeight="1">
      <c r="A734" s="9">
        <v>3</v>
      </c>
      <c r="B734" s="111"/>
      <c r="C734" s="168" t="s">
        <v>349</v>
      </c>
      <c r="D734" s="169"/>
      <c r="E734" s="9">
        <v>36</v>
      </c>
      <c r="F734" s="7" t="s">
        <v>147</v>
      </c>
      <c r="G734" s="7" t="s">
        <v>147</v>
      </c>
      <c r="H734" s="7" t="s">
        <v>147</v>
      </c>
      <c r="I734" s="7" t="s">
        <v>147</v>
      </c>
    </row>
    <row r="735" spans="1:9" ht="14.4" customHeight="1">
      <c r="A735" s="9">
        <v>3</v>
      </c>
      <c r="B735" s="111"/>
      <c r="C735" s="168" t="s">
        <v>349</v>
      </c>
      <c r="D735" s="169"/>
      <c r="E735" s="9">
        <v>36</v>
      </c>
      <c r="F735" s="7" t="s">
        <v>147</v>
      </c>
      <c r="G735" s="7" t="s">
        <v>147</v>
      </c>
      <c r="H735" s="7" t="s">
        <v>147</v>
      </c>
      <c r="I735" s="7" t="s">
        <v>147</v>
      </c>
    </row>
    <row r="736" spans="1:9" ht="14.4" customHeight="1">
      <c r="A736" s="9">
        <v>3</v>
      </c>
      <c r="B736" s="111"/>
      <c r="C736" s="168" t="s">
        <v>349</v>
      </c>
      <c r="D736" s="169"/>
      <c r="E736" s="9">
        <v>36</v>
      </c>
      <c r="F736" s="7" t="s">
        <v>147</v>
      </c>
      <c r="G736" s="7" t="s">
        <v>147</v>
      </c>
      <c r="H736" s="7" t="s">
        <v>147</v>
      </c>
      <c r="I736" s="7" t="s">
        <v>147</v>
      </c>
    </row>
    <row r="737" spans="1:9" ht="14.4" customHeight="1">
      <c r="A737" s="9">
        <v>3</v>
      </c>
      <c r="B737" s="111"/>
      <c r="C737" s="168" t="s">
        <v>349</v>
      </c>
      <c r="D737" s="169"/>
      <c r="E737" s="9">
        <v>36</v>
      </c>
      <c r="F737" s="7" t="s">
        <v>147</v>
      </c>
      <c r="G737" s="7" t="s">
        <v>147</v>
      </c>
      <c r="H737" s="7" t="s">
        <v>147</v>
      </c>
      <c r="I737" s="7" t="s">
        <v>147</v>
      </c>
    </row>
    <row r="738" spans="1:9" ht="14.4" customHeight="1">
      <c r="A738" s="9">
        <v>3</v>
      </c>
      <c r="B738" s="111"/>
      <c r="C738" s="168" t="s">
        <v>349</v>
      </c>
      <c r="D738" s="169"/>
      <c r="E738" s="9">
        <v>36</v>
      </c>
      <c r="F738" s="7" t="s">
        <v>147</v>
      </c>
      <c r="G738" s="7" t="s">
        <v>147</v>
      </c>
      <c r="H738" s="7" t="s">
        <v>147</v>
      </c>
      <c r="I738" s="7" t="s">
        <v>147</v>
      </c>
    </row>
    <row r="739" spans="1:9" ht="14.4" customHeight="1">
      <c r="A739" s="9">
        <v>3</v>
      </c>
      <c r="B739" s="111"/>
      <c r="C739" s="168" t="s">
        <v>349</v>
      </c>
      <c r="D739" s="169"/>
      <c r="E739" s="9">
        <v>36</v>
      </c>
      <c r="F739" s="7" t="s">
        <v>147</v>
      </c>
      <c r="G739" s="7" t="s">
        <v>147</v>
      </c>
      <c r="H739" s="7" t="s">
        <v>147</v>
      </c>
      <c r="I739" s="7" t="s">
        <v>147</v>
      </c>
    </row>
    <row r="740" spans="1:9" ht="14.4" customHeight="1">
      <c r="A740" s="9">
        <v>3</v>
      </c>
      <c r="B740" s="111"/>
      <c r="C740" s="168" t="s">
        <v>349</v>
      </c>
      <c r="D740" s="169"/>
      <c r="E740" s="9">
        <v>36</v>
      </c>
      <c r="F740" s="7" t="s">
        <v>147</v>
      </c>
      <c r="G740" s="7" t="s">
        <v>147</v>
      </c>
      <c r="H740" s="7" t="s">
        <v>147</v>
      </c>
      <c r="I740" s="7" t="s">
        <v>147</v>
      </c>
    </row>
    <row r="741" spans="1:9" ht="14.4" customHeight="1">
      <c r="A741" s="9">
        <v>3</v>
      </c>
      <c r="B741" s="111"/>
      <c r="C741" s="168" t="s">
        <v>349</v>
      </c>
      <c r="D741" s="169"/>
      <c r="E741" s="9">
        <v>36</v>
      </c>
      <c r="F741" s="7" t="s">
        <v>147</v>
      </c>
      <c r="G741" s="7" t="s">
        <v>147</v>
      </c>
      <c r="H741" s="7" t="s">
        <v>147</v>
      </c>
      <c r="I741" s="7" t="s">
        <v>147</v>
      </c>
    </row>
    <row r="742" spans="1:9" ht="14.4" customHeight="1">
      <c r="A742" s="9">
        <v>3</v>
      </c>
      <c r="B742" s="111"/>
      <c r="C742" s="168" t="s">
        <v>349</v>
      </c>
      <c r="D742" s="169"/>
      <c r="E742" s="9">
        <v>36</v>
      </c>
      <c r="F742" s="7" t="s">
        <v>147</v>
      </c>
      <c r="G742" s="7" t="s">
        <v>147</v>
      </c>
      <c r="H742" s="7" t="s">
        <v>147</v>
      </c>
      <c r="I742" s="7" t="s">
        <v>147</v>
      </c>
    </row>
    <row r="743" spans="1:9" ht="14.4" customHeight="1">
      <c r="A743" s="9">
        <v>3</v>
      </c>
      <c r="B743" s="111"/>
      <c r="C743" s="168" t="s">
        <v>349</v>
      </c>
      <c r="D743" s="169"/>
      <c r="E743" s="9">
        <v>36</v>
      </c>
      <c r="F743" s="7" t="s">
        <v>147</v>
      </c>
      <c r="G743" s="7" t="s">
        <v>147</v>
      </c>
      <c r="H743" s="7" t="s">
        <v>147</v>
      </c>
      <c r="I743" s="7" t="s">
        <v>147</v>
      </c>
    </row>
    <row r="744" spans="1:9" ht="14.4" customHeight="1">
      <c r="A744" s="9">
        <v>3</v>
      </c>
      <c r="B744" s="111"/>
      <c r="C744" s="168" t="s">
        <v>349</v>
      </c>
      <c r="D744" s="169"/>
      <c r="E744" s="9">
        <v>36</v>
      </c>
      <c r="F744" s="7" t="s">
        <v>147</v>
      </c>
      <c r="G744" s="7" t="s">
        <v>147</v>
      </c>
      <c r="H744" s="7" t="s">
        <v>147</v>
      </c>
      <c r="I744" s="7" t="s">
        <v>147</v>
      </c>
    </row>
    <row r="745" spans="1:9" ht="14.4" customHeight="1">
      <c r="A745" s="9">
        <v>3</v>
      </c>
      <c r="B745" s="111"/>
      <c r="C745" s="168" t="s">
        <v>349</v>
      </c>
      <c r="D745" s="169"/>
      <c r="E745" s="9">
        <v>36</v>
      </c>
      <c r="F745" s="7" t="s">
        <v>147</v>
      </c>
      <c r="G745" s="7" t="s">
        <v>147</v>
      </c>
      <c r="H745" s="7" t="s">
        <v>147</v>
      </c>
      <c r="I745" s="7" t="s">
        <v>147</v>
      </c>
    </row>
    <row r="746" spans="1:9" ht="14.4" customHeight="1">
      <c r="A746" s="9">
        <v>3</v>
      </c>
      <c r="B746" s="111"/>
      <c r="C746" s="168" t="s">
        <v>349</v>
      </c>
      <c r="D746" s="169"/>
      <c r="E746" s="9">
        <v>36</v>
      </c>
      <c r="F746" s="7" t="s">
        <v>147</v>
      </c>
      <c r="G746" s="7" t="s">
        <v>147</v>
      </c>
      <c r="H746" s="7" t="s">
        <v>147</v>
      </c>
      <c r="I746" s="7" t="s">
        <v>147</v>
      </c>
    </row>
    <row r="747" spans="1:9" ht="14.4" customHeight="1">
      <c r="A747" s="9">
        <v>3</v>
      </c>
      <c r="B747" s="111"/>
      <c r="C747" s="168" t="s">
        <v>349</v>
      </c>
      <c r="D747" s="169"/>
      <c r="E747" s="9">
        <v>36</v>
      </c>
      <c r="F747" s="7" t="s">
        <v>147</v>
      </c>
      <c r="G747" s="7" t="s">
        <v>147</v>
      </c>
      <c r="H747" s="7" t="s">
        <v>147</v>
      </c>
      <c r="I747" s="7" t="s">
        <v>147</v>
      </c>
    </row>
    <row r="748" spans="1:9" ht="14.4" customHeight="1">
      <c r="A748" s="9">
        <v>3</v>
      </c>
      <c r="B748" s="111"/>
      <c r="C748" s="168" t="s">
        <v>349</v>
      </c>
      <c r="D748" s="169"/>
      <c r="E748" s="9">
        <v>36</v>
      </c>
      <c r="F748" s="7" t="s">
        <v>147</v>
      </c>
      <c r="G748" s="7" t="s">
        <v>147</v>
      </c>
      <c r="H748" s="7" t="s">
        <v>147</v>
      </c>
      <c r="I748" s="7" t="s">
        <v>147</v>
      </c>
    </row>
    <row r="749" spans="1:9" ht="14.4" customHeight="1">
      <c r="A749" s="9">
        <v>3</v>
      </c>
      <c r="B749" s="111"/>
      <c r="C749" s="168" t="s">
        <v>349</v>
      </c>
      <c r="D749" s="169"/>
      <c r="E749" s="9">
        <v>36</v>
      </c>
      <c r="F749" s="7" t="s">
        <v>147</v>
      </c>
      <c r="G749" s="7" t="s">
        <v>147</v>
      </c>
      <c r="H749" s="7" t="s">
        <v>147</v>
      </c>
      <c r="I749" s="7" t="s">
        <v>147</v>
      </c>
    </row>
    <row r="750" spans="1:9" ht="14.4" customHeight="1">
      <c r="A750" s="9">
        <v>3</v>
      </c>
      <c r="B750" s="111"/>
      <c r="C750" s="168" t="s">
        <v>349</v>
      </c>
      <c r="D750" s="169"/>
      <c r="E750" s="9">
        <v>36</v>
      </c>
      <c r="F750" s="7" t="s">
        <v>147</v>
      </c>
      <c r="G750" s="7" t="s">
        <v>147</v>
      </c>
      <c r="H750" s="7" t="s">
        <v>147</v>
      </c>
      <c r="I750" s="7" t="s">
        <v>147</v>
      </c>
    </row>
    <row r="751" spans="1:9" ht="14.4" customHeight="1">
      <c r="A751" s="9">
        <v>3</v>
      </c>
      <c r="B751" s="111"/>
      <c r="C751" s="168" t="s">
        <v>349</v>
      </c>
      <c r="D751" s="169"/>
      <c r="E751" s="9">
        <v>36</v>
      </c>
      <c r="F751" s="7" t="s">
        <v>147</v>
      </c>
      <c r="G751" s="7" t="s">
        <v>147</v>
      </c>
      <c r="H751" s="7" t="s">
        <v>147</v>
      </c>
      <c r="I751" s="7" t="s">
        <v>147</v>
      </c>
    </row>
    <row r="752" spans="1:9" ht="14.4" customHeight="1">
      <c r="A752" s="9">
        <v>3</v>
      </c>
      <c r="B752" s="111"/>
      <c r="C752" s="168" t="s">
        <v>349</v>
      </c>
      <c r="D752" s="169"/>
      <c r="E752" s="9">
        <v>36</v>
      </c>
      <c r="F752" s="7" t="s">
        <v>147</v>
      </c>
      <c r="G752" s="7" t="s">
        <v>147</v>
      </c>
      <c r="H752" s="7" t="s">
        <v>147</v>
      </c>
      <c r="I752" s="7" t="s">
        <v>147</v>
      </c>
    </row>
    <row r="753" spans="1:9" ht="14.4" customHeight="1">
      <c r="A753" s="9">
        <v>3</v>
      </c>
      <c r="B753" s="111"/>
      <c r="C753" s="168" t="s">
        <v>349</v>
      </c>
      <c r="D753" s="169"/>
      <c r="E753" s="9">
        <v>36</v>
      </c>
      <c r="F753" s="7" t="s">
        <v>147</v>
      </c>
      <c r="G753" s="7" t="s">
        <v>147</v>
      </c>
      <c r="H753" s="7" t="s">
        <v>147</v>
      </c>
      <c r="I753" s="7" t="s">
        <v>147</v>
      </c>
    </row>
    <row r="754" spans="1:9" ht="14.4" customHeight="1">
      <c r="A754" s="9">
        <v>3</v>
      </c>
      <c r="B754" s="111"/>
      <c r="C754" s="168" t="s">
        <v>349</v>
      </c>
      <c r="D754" s="169"/>
      <c r="E754" s="9">
        <v>36</v>
      </c>
      <c r="F754" s="7" t="s">
        <v>147</v>
      </c>
      <c r="G754" s="7" t="s">
        <v>147</v>
      </c>
      <c r="H754" s="7" t="s">
        <v>147</v>
      </c>
      <c r="I754" s="7" t="s">
        <v>147</v>
      </c>
    </row>
    <row r="755" spans="1:9" ht="14.4" customHeight="1">
      <c r="A755" s="9">
        <v>3</v>
      </c>
      <c r="B755" s="111"/>
      <c r="C755" s="168" t="s">
        <v>349</v>
      </c>
      <c r="D755" s="169"/>
      <c r="E755" s="9">
        <v>36</v>
      </c>
      <c r="F755" s="7" t="s">
        <v>147</v>
      </c>
      <c r="G755" s="7" t="s">
        <v>147</v>
      </c>
      <c r="H755" s="7" t="s">
        <v>147</v>
      </c>
      <c r="I755" s="7" t="s">
        <v>147</v>
      </c>
    </row>
    <row r="756" spans="1:9" ht="14.4" customHeight="1">
      <c r="A756" s="9">
        <v>3</v>
      </c>
      <c r="B756" s="111"/>
      <c r="C756" s="168" t="s">
        <v>349</v>
      </c>
      <c r="D756" s="169"/>
      <c r="E756" s="9">
        <v>36</v>
      </c>
      <c r="F756" s="7" t="s">
        <v>147</v>
      </c>
      <c r="G756" s="7" t="s">
        <v>147</v>
      </c>
      <c r="H756" s="7" t="s">
        <v>147</v>
      </c>
      <c r="I756" s="7" t="s">
        <v>147</v>
      </c>
    </row>
    <row r="757" spans="1:9" ht="14.4" customHeight="1">
      <c r="A757" s="9">
        <v>3</v>
      </c>
      <c r="B757" s="111"/>
      <c r="C757" s="168" t="s">
        <v>349</v>
      </c>
      <c r="D757" s="169"/>
      <c r="E757" s="9">
        <v>36</v>
      </c>
      <c r="F757" s="7" t="s">
        <v>147</v>
      </c>
      <c r="G757" s="7" t="s">
        <v>147</v>
      </c>
      <c r="H757" s="7" t="s">
        <v>147</v>
      </c>
      <c r="I757" s="7" t="s">
        <v>147</v>
      </c>
    </row>
    <row r="758" spans="1:9" ht="14.4" customHeight="1">
      <c r="A758" s="9">
        <v>3</v>
      </c>
      <c r="B758" s="111"/>
      <c r="C758" s="168" t="s">
        <v>349</v>
      </c>
      <c r="D758" s="169"/>
      <c r="E758" s="9">
        <v>36</v>
      </c>
      <c r="F758" s="7" t="s">
        <v>147</v>
      </c>
      <c r="G758" s="7" t="s">
        <v>147</v>
      </c>
      <c r="H758" s="7" t="s">
        <v>147</v>
      </c>
      <c r="I758" s="7" t="s">
        <v>147</v>
      </c>
    </row>
    <row r="759" spans="1:9" ht="14.4" customHeight="1">
      <c r="A759" s="9">
        <v>3</v>
      </c>
      <c r="B759" s="111"/>
      <c r="C759" s="168" t="s">
        <v>349</v>
      </c>
      <c r="D759" s="169"/>
      <c r="E759" s="9">
        <v>36</v>
      </c>
      <c r="F759" s="7" t="s">
        <v>147</v>
      </c>
      <c r="G759" s="7" t="s">
        <v>147</v>
      </c>
      <c r="H759" s="7" t="s">
        <v>147</v>
      </c>
      <c r="I759" s="7" t="s">
        <v>147</v>
      </c>
    </row>
    <row r="760" spans="1:9" ht="14.4" customHeight="1">
      <c r="A760" s="9">
        <v>3</v>
      </c>
      <c r="B760" s="111"/>
      <c r="C760" s="168" t="s">
        <v>349</v>
      </c>
      <c r="D760" s="169"/>
      <c r="E760" s="9">
        <v>36</v>
      </c>
      <c r="F760" s="7" t="s">
        <v>147</v>
      </c>
      <c r="G760" s="7" t="s">
        <v>147</v>
      </c>
      <c r="H760" s="7" t="s">
        <v>147</v>
      </c>
      <c r="I760" s="7" t="s">
        <v>147</v>
      </c>
    </row>
    <row r="761" spans="1:9" ht="14.4" customHeight="1">
      <c r="A761" s="9">
        <v>3</v>
      </c>
      <c r="B761" s="111"/>
      <c r="C761" s="168" t="s">
        <v>349</v>
      </c>
      <c r="D761" s="169"/>
      <c r="E761" s="9">
        <v>36</v>
      </c>
      <c r="F761" s="7" t="s">
        <v>147</v>
      </c>
      <c r="G761" s="7" t="s">
        <v>147</v>
      </c>
      <c r="H761" s="7" t="s">
        <v>147</v>
      </c>
      <c r="I761" s="7" t="s">
        <v>147</v>
      </c>
    </row>
    <row r="762" spans="1:9" ht="14.4" customHeight="1">
      <c r="A762" s="9">
        <v>3</v>
      </c>
      <c r="B762" s="111"/>
      <c r="C762" s="168" t="s">
        <v>349</v>
      </c>
      <c r="D762" s="169"/>
      <c r="E762" s="9">
        <v>36</v>
      </c>
      <c r="F762" s="7" t="s">
        <v>147</v>
      </c>
      <c r="G762" s="7" t="s">
        <v>147</v>
      </c>
      <c r="H762" s="7" t="s">
        <v>147</v>
      </c>
      <c r="I762" s="7" t="s">
        <v>147</v>
      </c>
    </row>
    <row r="763" spans="1:9" ht="14.4" customHeight="1">
      <c r="A763" s="9">
        <v>3</v>
      </c>
      <c r="B763" s="111"/>
      <c r="C763" s="168" t="s">
        <v>349</v>
      </c>
      <c r="D763" s="169"/>
      <c r="E763" s="9">
        <v>36</v>
      </c>
      <c r="F763" s="7" t="s">
        <v>147</v>
      </c>
      <c r="G763" s="7" t="s">
        <v>147</v>
      </c>
      <c r="H763" s="7" t="s">
        <v>147</v>
      </c>
      <c r="I763" s="7" t="s">
        <v>147</v>
      </c>
    </row>
    <row r="764" spans="1:9" ht="14.4" customHeight="1">
      <c r="A764" s="9">
        <v>3</v>
      </c>
      <c r="B764" s="111"/>
      <c r="C764" s="168" t="s">
        <v>349</v>
      </c>
      <c r="D764" s="169"/>
      <c r="E764" s="9">
        <v>36</v>
      </c>
      <c r="F764" s="7" t="s">
        <v>147</v>
      </c>
      <c r="G764" s="7" t="s">
        <v>147</v>
      </c>
      <c r="H764" s="7" t="s">
        <v>147</v>
      </c>
      <c r="I764" s="7" t="s">
        <v>147</v>
      </c>
    </row>
    <row r="765" spans="1:9" ht="14.4" customHeight="1">
      <c r="A765" s="9">
        <v>3</v>
      </c>
      <c r="B765" s="111"/>
      <c r="C765" s="168" t="s">
        <v>349</v>
      </c>
      <c r="D765" s="169"/>
      <c r="E765" s="9">
        <v>36</v>
      </c>
      <c r="F765" s="7" t="s">
        <v>147</v>
      </c>
      <c r="G765" s="7" t="s">
        <v>147</v>
      </c>
      <c r="H765" s="7" t="s">
        <v>147</v>
      </c>
      <c r="I765" s="7" t="s">
        <v>147</v>
      </c>
    </row>
    <row r="766" spans="1:9" ht="14.4" customHeight="1">
      <c r="A766" s="9">
        <v>3</v>
      </c>
      <c r="B766" s="111"/>
      <c r="C766" s="168" t="s">
        <v>349</v>
      </c>
      <c r="D766" s="169"/>
      <c r="E766" s="9">
        <v>36</v>
      </c>
      <c r="F766" s="7" t="s">
        <v>147</v>
      </c>
      <c r="G766" s="7" t="s">
        <v>147</v>
      </c>
      <c r="H766" s="7" t="s">
        <v>147</v>
      </c>
      <c r="I766" s="7" t="s">
        <v>147</v>
      </c>
    </row>
    <row r="767" spans="1:9" ht="14.4" customHeight="1">
      <c r="A767" s="9">
        <v>3</v>
      </c>
      <c r="B767" s="111"/>
      <c r="C767" s="168" t="s">
        <v>349</v>
      </c>
      <c r="D767" s="169"/>
      <c r="E767" s="9">
        <v>36</v>
      </c>
      <c r="F767" s="7" t="s">
        <v>147</v>
      </c>
      <c r="G767" s="7" t="s">
        <v>147</v>
      </c>
      <c r="H767" s="7" t="s">
        <v>147</v>
      </c>
      <c r="I767" s="7" t="s">
        <v>147</v>
      </c>
    </row>
    <row r="768" spans="1:9" ht="14.4" customHeight="1">
      <c r="A768" s="9">
        <v>3</v>
      </c>
      <c r="B768" s="111"/>
      <c r="C768" s="168" t="s">
        <v>349</v>
      </c>
      <c r="D768" s="169"/>
      <c r="E768" s="9">
        <v>36</v>
      </c>
      <c r="F768" s="7" t="s">
        <v>147</v>
      </c>
      <c r="G768" s="7" t="s">
        <v>147</v>
      </c>
      <c r="H768" s="7" t="s">
        <v>147</v>
      </c>
      <c r="I768" s="7" t="s">
        <v>147</v>
      </c>
    </row>
    <row r="769" spans="1:9" ht="14.4" customHeight="1">
      <c r="A769" s="9">
        <v>3</v>
      </c>
      <c r="B769" s="111"/>
      <c r="C769" s="168" t="s">
        <v>349</v>
      </c>
      <c r="D769" s="169"/>
      <c r="E769" s="9">
        <v>36</v>
      </c>
      <c r="F769" s="7" t="s">
        <v>147</v>
      </c>
      <c r="G769" s="7" t="s">
        <v>147</v>
      </c>
      <c r="H769" s="7" t="s">
        <v>147</v>
      </c>
      <c r="I769" s="7" t="s">
        <v>147</v>
      </c>
    </row>
    <row r="770" spans="1:9" ht="14.4" customHeight="1">
      <c r="A770" s="9">
        <v>3</v>
      </c>
      <c r="B770" s="111"/>
      <c r="C770" s="168" t="s">
        <v>349</v>
      </c>
      <c r="D770" s="169"/>
      <c r="E770" s="9">
        <v>36</v>
      </c>
      <c r="F770" s="7" t="s">
        <v>147</v>
      </c>
      <c r="G770" s="7" t="s">
        <v>147</v>
      </c>
      <c r="H770" s="7" t="s">
        <v>147</v>
      </c>
      <c r="I770" s="7" t="s">
        <v>147</v>
      </c>
    </row>
    <row r="771" spans="1:9" ht="14.4" customHeight="1">
      <c r="A771" s="9">
        <v>3</v>
      </c>
      <c r="B771" s="111"/>
      <c r="C771" s="168" t="s">
        <v>349</v>
      </c>
      <c r="D771" s="169"/>
      <c r="E771" s="9">
        <v>36</v>
      </c>
      <c r="F771" s="7" t="s">
        <v>147</v>
      </c>
      <c r="G771" s="7" t="s">
        <v>147</v>
      </c>
      <c r="H771" s="7" t="s">
        <v>147</v>
      </c>
      <c r="I771" s="7" t="s">
        <v>147</v>
      </c>
    </row>
    <row r="772" spans="1:9" ht="14.4" customHeight="1">
      <c r="A772" s="9">
        <v>3</v>
      </c>
      <c r="B772" s="111"/>
      <c r="C772" s="168" t="s">
        <v>349</v>
      </c>
      <c r="D772" s="169"/>
      <c r="E772" s="9">
        <v>36</v>
      </c>
      <c r="F772" s="7" t="s">
        <v>147</v>
      </c>
      <c r="G772" s="7" t="s">
        <v>147</v>
      </c>
      <c r="H772" s="7" t="s">
        <v>147</v>
      </c>
      <c r="I772" s="7" t="s">
        <v>147</v>
      </c>
    </row>
    <row r="773" spans="1:9" ht="14.4" customHeight="1">
      <c r="A773" s="9">
        <v>3</v>
      </c>
      <c r="B773" s="111"/>
      <c r="C773" s="168" t="s">
        <v>349</v>
      </c>
      <c r="D773" s="169"/>
      <c r="E773" s="9">
        <v>36</v>
      </c>
      <c r="F773" s="7" t="s">
        <v>147</v>
      </c>
      <c r="G773" s="7" t="s">
        <v>147</v>
      </c>
      <c r="H773" s="7" t="s">
        <v>147</v>
      </c>
      <c r="I773" s="7" t="s">
        <v>147</v>
      </c>
    </row>
    <row r="774" spans="1:9" ht="14.4" customHeight="1">
      <c r="A774" s="9">
        <v>3</v>
      </c>
      <c r="B774" s="111"/>
      <c r="C774" s="168" t="s">
        <v>349</v>
      </c>
      <c r="D774" s="169"/>
      <c r="E774" s="9">
        <v>36</v>
      </c>
      <c r="F774" s="7" t="s">
        <v>147</v>
      </c>
      <c r="G774" s="7" t="s">
        <v>147</v>
      </c>
      <c r="H774" s="7" t="s">
        <v>147</v>
      </c>
      <c r="I774" s="7" t="s">
        <v>147</v>
      </c>
    </row>
    <row r="775" spans="1:9" ht="14.4" customHeight="1">
      <c r="A775" s="9">
        <v>3</v>
      </c>
      <c r="B775" s="111"/>
      <c r="C775" s="168" t="s">
        <v>349</v>
      </c>
      <c r="D775" s="169"/>
      <c r="E775" s="9">
        <v>36</v>
      </c>
      <c r="F775" s="7" t="s">
        <v>147</v>
      </c>
      <c r="G775" s="7" t="s">
        <v>147</v>
      </c>
      <c r="H775" s="7" t="s">
        <v>147</v>
      </c>
      <c r="I775" s="7" t="s">
        <v>147</v>
      </c>
    </row>
    <row r="776" spans="1:9" ht="14.4" customHeight="1">
      <c r="A776" s="9">
        <v>3</v>
      </c>
      <c r="B776" s="111"/>
      <c r="C776" s="168" t="s">
        <v>349</v>
      </c>
      <c r="D776" s="169"/>
      <c r="E776" s="9">
        <v>36</v>
      </c>
      <c r="F776" s="7" t="s">
        <v>147</v>
      </c>
      <c r="G776" s="7" t="s">
        <v>147</v>
      </c>
      <c r="H776" s="7" t="s">
        <v>147</v>
      </c>
      <c r="I776" s="7" t="s">
        <v>147</v>
      </c>
    </row>
    <row r="777" spans="1:9" ht="14.4" customHeight="1">
      <c r="A777" s="9">
        <v>3</v>
      </c>
      <c r="B777" s="111"/>
      <c r="C777" s="168" t="s">
        <v>349</v>
      </c>
      <c r="D777" s="169"/>
      <c r="E777" s="9">
        <v>36</v>
      </c>
      <c r="F777" s="7" t="s">
        <v>147</v>
      </c>
      <c r="G777" s="7" t="s">
        <v>147</v>
      </c>
      <c r="H777" s="7" t="s">
        <v>147</v>
      </c>
      <c r="I777" s="7" t="s">
        <v>147</v>
      </c>
    </row>
    <row r="778" spans="1:9" ht="14.4" customHeight="1">
      <c r="A778" s="9">
        <v>3</v>
      </c>
      <c r="B778" s="111"/>
      <c r="C778" s="168" t="s">
        <v>349</v>
      </c>
      <c r="D778" s="169"/>
      <c r="E778" s="9">
        <v>36</v>
      </c>
      <c r="F778" s="7" t="s">
        <v>147</v>
      </c>
      <c r="G778" s="7" t="s">
        <v>147</v>
      </c>
      <c r="H778" s="7" t="s">
        <v>147</v>
      </c>
      <c r="I778" s="7" t="s">
        <v>147</v>
      </c>
    </row>
    <row r="779" spans="1:9" ht="14.4" customHeight="1">
      <c r="A779" s="9">
        <v>3</v>
      </c>
      <c r="B779" s="111"/>
      <c r="C779" s="168" t="s">
        <v>349</v>
      </c>
      <c r="D779" s="169"/>
      <c r="E779" s="9">
        <v>36</v>
      </c>
      <c r="F779" s="7" t="s">
        <v>147</v>
      </c>
      <c r="G779" s="7" t="s">
        <v>147</v>
      </c>
      <c r="H779" s="7" t="s">
        <v>147</v>
      </c>
      <c r="I779" s="7" t="s">
        <v>147</v>
      </c>
    </row>
    <row r="780" spans="1:9" ht="14.4" customHeight="1">
      <c r="A780" s="9">
        <v>3</v>
      </c>
      <c r="B780" s="111"/>
      <c r="C780" s="168" t="s">
        <v>349</v>
      </c>
      <c r="D780" s="169"/>
      <c r="E780" s="9">
        <v>36</v>
      </c>
      <c r="F780" s="7" t="s">
        <v>147</v>
      </c>
      <c r="G780" s="7" t="s">
        <v>147</v>
      </c>
      <c r="H780" s="7" t="s">
        <v>147</v>
      </c>
      <c r="I780" s="7" t="s">
        <v>147</v>
      </c>
    </row>
    <row r="781" spans="1:9" ht="14.4" customHeight="1">
      <c r="A781" s="9">
        <v>3</v>
      </c>
      <c r="B781" s="111"/>
      <c r="C781" s="168" t="s">
        <v>349</v>
      </c>
      <c r="D781" s="169"/>
      <c r="E781" s="9">
        <v>36</v>
      </c>
      <c r="F781" s="7" t="s">
        <v>147</v>
      </c>
      <c r="G781" s="7" t="s">
        <v>147</v>
      </c>
      <c r="H781" s="7" t="s">
        <v>147</v>
      </c>
      <c r="I781" s="7" t="s">
        <v>147</v>
      </c>
    </row>
    <row r="782" spans="1:9" ht="14.4" customHeight="1">
      <c r="A782" s="9">
        <v>3</v>
      </c>
      <c r="B782" s="111"/>
      <c r="C782" s="168" t="s">
        <v>349</v>
      </c>
      <c r="D782" s="169"/>
      <c r="E782" s="9">
        <v>36</v>
      </c>
      <c r="F782" s="7" t="s">
        <v>147</v>
      </c>
      <c r="G782" s="7" t="s">
        <v>147</v>
      </c>
      <c r="H782" s="7" t="s">
        <v>147</v>
      </c>
      <c r="I782" s="7" t="s">
        <v>147</v>
      </c>
    </row>
    <row r="783" spans="1:9" ht="14.4" customHeight="1">
      <c r="A783" s="9">
        <v>3</v>
      </c>
      <c r="B783" s="111"/>
      <c r="C783" s="168" t="s">
        <v>349</v>
      </c>
      <c r="D783" s="169"/>
      <c r="E783" s="9">
        <v>36</v>
      </c>
      <c r="F783" s="7" t="s">
        <v>147</v>
      </c>
      <c r="G783" s="7" t="s">
        <v>147</v>
      </c>
      <c r="H783" s="7" t="s">
        <v>147</v>
      </c>
      <c r="I783" s="7" t="s">
        <v>147</v>
      </c>
    </row>
    <row r="784" spans="1:9" ht="14.4" customHeight="1">
      <c r="A784" s="9">
        <v>3</v>
      </c>
      <c r="B784" s="111"/>
      <c r="C784" s="168" t="s">
        <v>349</v>
      </c>
      <c r="D784" s="169"/>
      <c r="E784" s="9">
        <v>36</v>
      </c>
      <c r="F784" s="7" t="s">
        <v>147</v>
      </c>
      <c r="G784" s="7" t="s">
        <v>147</v>
      </c>
      <c r="H784" s="7" t="s">
        <v>147</v>
      </c>
      <c r="I784" s="7" t="s">
        <v>147</v>
      </c>
    </row>
    <row r="785" spans="1:9" ht="14.4" customHeight="1">
      <c r="A785" s="9">
        <v>3</v>
      </c>
      <c r="B785" s="111"/>
      <c r="C785" s="168" t="s">
        <v>349</v>
      </c>
      <c r="D785" s="169"/>
      <c r="E785" s="9">
        <v>36</v>
      </c>
      <c r="F785" s="7" t="s">
        <v>147</v>
      </c>
      <c r="G785" s="7" t="s">
        <v>147</v>
      </c>
      <c r="H785" s="7" t="s">
        <v>147</v>
      </c>
      <c r="I785" s="7" t="s">
        <v>147</v>
      </c>
    </row>
    <row r="786" spans="1:9" ht="14.4" customHeight="1">
      <c r="A786" s="9">
        <v>3</v>
      </c>
      <c r="B786" s="111"/>
      <c r="C786" s="168" t="s">
        <v>349</v>
      </c>
      <c r="D786" s="169"/>
      <c r="E786" s="9">
        <v>36</v>
      </c>
      <c r="F786" s="7" t="s">
        <v>147</v>
      </c>
      <c r="G786" s="7" t="s">
        <v>147</v>
      </c>
      <c r="H786" s="7" t="s">
        <v>147</v>
      </c>
      <c r="I786" s="7" t="s">
        <v>147</v>
      </c>
    </row>
    <row r="787" spans="1:9" ht="14.4" customHeight="1">
      <c r="A787" s="9">
        <v>3</v>
      </c>
      <c r="B787" s="111"/>
      <c r="C787" s="168" t="s">
        <v>349</v>
      </c>
      <c r="D787" s="169"/>
      <c r="E787" s="9">
        <v>36</v>
      </c>
      <c r="F787" s="7" t="s">
        <v>147</v>
      </c>
      <c r="G787" s="7" t="s">
        <v>147</v>
      </c>
      <c r="H787" s="7" t="s">
        <v>147</v>
      </c>
      <c r="I787" s="7" t="s">
        <v>147</v>
      </c>
    </row>
    <row r="788" spans="1:9" ht="14.4" customHeight="1">
      <c r="A788" s="9">
        <v>3</v>
      </c>
      <c r="B788" s="111"/>
      <c r="C788" s="168" t="s">
        <v>349</v>
      </c>
      <c r="D788" s="169"/>
      <c r="E788" s="9">
        <v>36</v>
      </c>
      <c r="F788" s="7" t="s">
        <v>147</v>
      </c>
      <c r="G788" s="7" t="s">
        <v>147</v>
      </c>
      <c r="H788" s="7" t="s">
        <v>147</v>
      </c>
      <c r="I788" s="7" t="s">
        <v>147</v>
      </c>
    </row>
    <row r="789" spans="1:9" ht="14.4" customHeight="1">
      <c r="A789" s="9">
        <v>3</v>
      </c>
      <c r="B789" s="111"/>
      <c r="C789" s="168" t="s">
        <v>349</v>
      </c>
      <c r="D789" s="169"/>
      <c r="E789" s="9">
        <v>36</v>
      </c>
      <c r="F789" s="7" t="s">
        <v>147</v>
      </c>
      <c r="G789" s="7" t="s">
        <v>147</v>
      </c>
      <c r="H789" s="7" t="s">
        <v>147</v>
      </c>
      <c r="I789" s="7" t="s">
        <v>147</v>
      </c>
    </row>
    <row r="790" spans="1:9" ht="14.4" customHeight="1">
      <c r="A790" s="9">
        <v>3</v>
      </c>
      <c r="B790" s="111"/>
      <c r="C790" s="168" t="s">
        <v>349</v>
      </c>
      <c r="D790" s="169"/>
      <c r="E790" s="9">
        <v>36</v>
      </c>
      <c r="F790" s="7" t="s">
        <v>147</v>
      </c>
      <c r="G790" s="7" t="s">
        <v>147</v>
      </c>
      <c r="H790" s="7" t="s">
        <v>147</v>
      </c>
      <c r="I790" s="7" t="s">
        <v>147</v>
      </c>
    </row>
    <row r="791" spans="1:9" ht="14.4" customHeight="1">
      <c r="A791" s="9">
        <v>3</v>
      </c>
      <c r="B791" s="111"/>
      <c r="C791" s="168" t="s">
        <v>349</v>
      </c>
      <c r="D791" s="169"/>
      <c r="E791" s="9">
        <v>36</v>
      </c>
      <c r="F791" s="7" t="s">
        <v>147</v>
      </c>
      <c r="G791" s="7" t="s">
        <v>147</v>
      </c>
      <c r="H791" s="7" t="s">
        <v>147</v>
      </c>
      <c r="I791" s="7" t="s">
        <v>147</v>
      </c>
    </row>
    <row r="792" spans="1:9" ht="14.4" customHeight="1">
      <c r="A792" s="9">
        <v>3</v>
      </c>
      <c r="B792" s="111"/>
      <c r="C792" s="168" t="s">
        <v>349</v>
      </c>
      <c r="D792" s="169"/>
      <c r="E792" s="9">
        <v>36</v>
      </c>
      <c r="F792" s="7" t="s">
        <v>147</v>
      </c>
      <c r="G792" s="7" t="s">
        <v>147</v>
      </c>
      <c r="H792" s="7" t="s">
        <v>147</v>
      </c>
      <c r="I792" s="7" t="s">
        <v>147</v>
      </c>
    </row>
    <row r="793" spans="1:9" ht="14.4" customHeight="1">
      <c r="A793" s="9">
        <v>3</v>
      </c>
      <c r="B793" s="111"/>
      <c r="C793" s="168" t="s">
        <v>349</v>
      </c>
      <c r="D793" s="169"/>
      <c r="E793" s="9">
        <v>36</v>
      </c>
      <c r="F793" s="7" t="s">
        <v>147</v>
      </c>
      <c r="G793" s="7" t="s">
        <v>147</v>
      </c>
      <c r="H793" s="7" t="s">
        <v>147</v>
      </c>
      <c r="I793" s="7" t="s">
        <v>147</v>
      </c>
    </row>
    <row r="794" spans="1:9" ht="14.4" customHeight="1">
      <c r="A794" s="9">
        <v>3</v>
      </c>
      <c r="B794" s="111"/>
      <c r="C794" s="168" t="s">
        <v>349</v>
      </c>
      <c r="D794" s="169"/>
      <c r="E794" s="9">
        <v>36</v>
      </c>
      <c r="F794" s="7" t="s">
        <v>147</v>
      </c>
      <c r="G794" s="7" t="s">
        <v>147</v>
      </c>
      <c r="H794" s="7" t="s">
        <v>147</v>
      </c>
      <c r="I794" s="7" t="s">
        <v>147</v>
      </c>
    </row>
    <row r="795" spans="1:9" ht="14.4" customHeight="1">
      <c r="A795" s="9">
        <v>3</v>
      </c>
      <c r="B795" s="111"/>
      <c r="C795" s="168" t="s">
        <v>349</v>
      </c>
      <c r="D795" s="169"/>
      <c r="E795" s="9">
        <v>36</v>
      </c>
      <c r="F795" s="7" t="s">
        <v>147</v>
      </c>
      <c r="G795" s="7" t="s">
        <v>147</v>
      </c>
      <c r="H795" s="7" t="s">
        <v>147</v>
      </c>
      <c r="I795" s="7" t="s">
        <v>147</v>
      </c>
    </row>
    <row r="796" spans="1:9" ht="14.4" customHeight="1">
      <c r="A796" s="9">
        <v>3</v>
      </c>
      <c r="B796" s="111"/>
      <c r="C796" s="168" t="s">
        <v>349</v>
      </c>
      <c r="D796" s="169"/>
      <c r="E796" s="9">
        <v>36</v>
      </c>
      <c r="F796" s="7" t="s">
        <v>147</v>
      </c>
      <c r="G796" s="7" t="s">
        <v>147</v>
      </c>
      <c r="H796" s="7" t="s">
        <v>147</v>
      </c>
      <c r="I796" s="7" t="s">
        <v>147</v>
      </c>
    </row>
    <row r="797" spans="1:9" ht="14.4" customHeight="1">
      <c r="A797" s="9">
        <v>3</v>
      </c>
      <c r="B797" s="111"/>
      <c r="C797" s="168" t="s">
        <v>349</v>
      </c>
      <c r="D797" s="169"/>
      <c r="E797" s="9">
        <v>36</v>
      </c>
      <c r="F797" s="7" t="s">
        <v>147</v>
      </c>
      <c r="G797" s="7" t="s">
        <v>147</v>
      </c>
      <c r="H797" s="7" t="s">
        <v>147</v>
      </c>
      <c r="I797" s="7" t="s">
        <v>147</v>
      </c>
    </row>
    <row r="798" spans="1:9" ht="14.4" customHeight="1">
      <c r="A798" s="9">
        <v>3</v>
      </c>
      <c r="B798" s="111"/>
      <c r="C798" s="168" t="s">
        <v>349</v>
      </c>
      <c r="D798" s="169"/>
      <c r="E798" s="9">
        <v>36</v>
      </c>
      <c r="F798" s="7" t="s">
        <v>147</v>
      </c>
      <c r="G798" s="7" t="s">
        <v>147</v>
      </c>
      <c r="H798" s="7" t="s">
        <v>147</v>
      </c>
      <c r="I798" s="7" t="s">
        <v>147</v>
      </c>
    </row>
    <row r="799" spans="1:9" ht="14.4" customHeight="1">
      <c r="A799" s="9">
        <v>3</v>
      </c>
      <c r="B799" s="111"/>
      <c r="C799" s="168" t="s">
        <v>349</v>
      </c>
      <c r="D799" s="169"/>
      <c r="E799" s="9">
        <v>36</v>
      </c>
      <c r="F799" s="7" t="s">
        <v>147</v>
      </c>
      <c r="G799" s="7" t="s">
        <v>147</v>
      </c>
      <c r="H799" s="7" t="s">
        <v>147</v>
      </c>
      <c r="I799" s="7" t="s">
        <v>147</v>
      </c>
    </row>
    <row r="800" spans="1:9" ht="14.4" customHeight="1">
      <c r="A800" s="9">
        <v>3</v>
      </c>
      <c r="B800" s="111"/>
      <c r="C800" s="168" t="s">
        <v>349</v>
      </c>
      <c r="D800" s="169"/>
      <c r="E800" s="9">
        <v>36</v>
      </c>
      <c r="F800" s="7" t="s">
        <v>147</v>
      </c>
      <c r="G800" s="7" t="s">
        <v>147</v>
      </c>
      <c r="H800" s="7" t="s">
        <v>147</v>
      </c>
      <c r="I800" s="7" t="s">
        <v>147</v>
      </c>
    </row>
    <row r="801" spans="1:9" ht="14.4" customHeight="1">
      <c r="A801" s="9">
        <v>3</v>
      </c>
      <c r="B801" s="111"/>
      <c r="C801" s="168" t="s">
        <v>349</v>
      </c>
      <c r="D801" s="169"/>
      <c r="E801" s="9">
        <v>36</v>
      </c>
      <c r="F801" s="7" t="s">
        <v>147</v>
      </c>
      <c r="G801" s="7" t="s">
        <v>147</v>
      </c>
      <c r="H801" s="7" t="s">
        <v>147</v>
      </c>
      <c r="I801" s="7" t="s">
        <v>147</v>
      </c>
    </row>
    <row r="802" spans="1:9" ht="14.4" customHeight="1">
      <c r="A802" s="9">
        <v>3</v>
      </c>
      <c r="B802" s="111"/>
      <c r="C802" s="168" t="s">
        <v>349</v>
      </c>
      <c r="D802" s="169"/>
      <c r="E802" s="9">
        <v>36</v>
      </c>
      <c r="F802" s="7" t="s">
        <v>147</v>
      </c>
      <c r="G802" s="7" t="s">
        <v>147</v>
      </c>
      <c r="H802" s="7" t="s">
        <v>147</v>
      </c>
      <c r="I802" s="7" t="s">
        <v>147</v>
      </c>
    </row>
    <row r="803" spans="1:9" ht="14.4" customHeight="1">
      <c r="A803" s="9">
        <v>3</v>
      </c>
      <c r="B803" s="111"/>
      <c r="C803" s="168" t="s">
        <v>349</v>
      </c>
      <c r="D803" s="169"/>
      <c r="E803" s="9">
        <v>36</v>
      </c>
      <c r="F803" s="7" t="s">
        <v>147</v>
      </c>
      <c r="G803" s="7" t="s">
        <v>147</v>
      </c>
      <c r="H803" s="7" t="s">
        <v>147</v>
      </c>
      <c r="I803" s="7" t="s">
        <v>147</v>
      </c>
    </row>
    <row r="804" spans="1:9" ht="14.4" customHeight="1">
      <c r="A804" s="9">
        <v>3</v>
      </c>
      <c r="B804" s="111"/>
      <c r="C804" s="168" t="s">
        <v>349</v>
      </c>
      <c r="D804" s="169"/>
      <c r="E804" s="9">
        <v>36</v>
      </c>
      <c r="F804" s="7" t="s">
        <v>147</v>
      </c>
      <c r="G804" s="7" t="s">
        <v>147</v>
      </c>
      <c r="H804" s="7" t="s">
        <v>147</v>
      </c>
      <c r="I804" s="7" t="s">
        <v>147</v>
      </c>
    </row>
    <row r="805" spans="1:9" ht="14.4" customHeight="1">
      <c r="A805" s="9">
        <v>3</v>
      </c>
      <c r="B805" s="111"/>
      <c r="C805" s="168" t="s">
        <v>349</v>
      </c>
      <c r="D805" s="169"/>
      <c r="E805" s="9">
        <v>36</v>
      </c>
      <c r="F805" s="7" t="s">
        <v>147</v>
      </c>
      <c r="G805" s="7" t="s">
        <v>147</v>
      </c>
      <c r="H805" s="7" t="s">
        <v>147</v>
      </c>
      <c r="I805" s="7" t="s">
        <v>147</v>
      </c>
    </row>
    <row r="806" spans="1:9" ht="14.4" customHeight="1">
      <c r="A806" s="9">
        <v>3</v>
      </c>
      <c r="B806" s="111"/>
      <c r="C806" s="168" t="s">
        <v>349</v>
      </c>
      <c r="D806" s="169"/>
      <c r="E806" s="9">
        <v>36</v>
      </c>
      <c r="F806" s="7" t="s">
        <v>147</v>
      </c>
      <c r="G806" s="7" t="s">
        <v>147</v>
      </c>
      <c r="H806" s="7" t="s">
        <v>147</v>
      </c>
      <c r="I806" s="7" t="s">
        <v>147</v>
      </c>
    </row>
    <row r="807" spans="1:9" ht="14.4" customHeight="1">
      <c r="A807" s="9">
        <v>3</v>
      </c>
      <c r="B807" s="111"/>
      <c r="C807" s="168" t="s">
        <v>349</v>
      </c>
      <c r="D807" s="169"/>
      <c r="E807" s="9">
        <v>36</v>
      </c>
      <c r="F807" s="7" t="s">
        <v>147</v>
      </c>
      <c r="G807" s="7" t="s">
        <v>147</v>
      </c>
      <c r="H807" s="7" t="s">
        <v>147</v>
      </c>
      <c r="I807" s="7" t="s">
        <v>147</v>
      </c>
    </row>
    <row r="808" spans="1:9" ht="14.4" customHeight="1">
      <c r="A808" s="9">
        <v>3</v>
      </c>
      <c r="B808" s="111"/>
      <c r="C808" s="168" t="s">
        <v>349</v>
      </c>
      <c r="D808" s="169"/>
      <c r="E808" s="9">
        <v>36</v>
      </c>
      <c r="F808" s="7" t="s">
        <v>147</v>
      </c>
      <c r="G808" s="7" t="s">
        <v>147</v>
      </c>
      <c r="H808" s="7" t="s">
        <v>147</v>
      </c>
      <c r="I808" s="7" t="s">
        <v>147</v>
      </c>
    </row>
    <row r="809" spans="1:9" ht="14.4" customHeight="1">
      <c r="A809" s="9">
        <v>3</v>
      </c>
      <c r="B809" s="111"/>
      <c r="C809" s="168" t="s">
        <v>349</v>
      </c>
      <c r="D809" s="169"/>
      <c r="E809" s="9">
        <v>36</v>
      </c>
      <c r="F809" s="7" t="s">
        <v>147</v>
      </c>
      <c r="G809" s="7" t="s">
        <v>147</v>
      </c>
      <c r="H809" s="7" t="s">
        <v>147</v>
      </c>
      <c r="I809" s="7" t="s">
        <v>147</v>
      </c>
    </row>
    <row r="810" spans="1:9" ht="14.4" customHeight="1">
      <c r="A810" s="9">
        <v>3</v>
      </c>
      <c r="B810" s="111"/>
      <c r="C810" s="168" t="s">
        <v>349</v>
      </c>
      <c r="D810" s="169"/>
      <c r="E810" s="9">
        <v>36</v>
      </c>
      <c r="F810" s="7" t="s">
        <v>147</v>
      </c>
      <c r="G810" s="7" t="s">
        <v>147</v>
      </c>
      <c r="H810" s="7" t="s">
        <v>147</v>
      </c>
      <c r="I810" s="7" t="s">
        <v>147</v>
      </c>
    </row>
    <row r="811" spans="1:9" ht="14.4" customHeight="1">
      <c r="A811" s="9">
        <v>3</v>
      </c>
      <c r="B811" s="111"/>
      <c r="C811" s="168" t="s">
        <v>349</v>
      </c>
      <c r="D811" s="169"/>
      <c r="E811" s="9">
        <v>36</v>
      </c>
      <c r="F811" s="7" t="s">
        <v>147</v>
      </c>
      <c r="G811" s="7" t="s">
        <v>147</v>
      </c>
      <c r="H811" s="7" t="s">
        <v>147</v>
      </c>
      <c r="I811" s="7" t="s">
        <v>147</v>
      </c>
    </row>
    <row r="812" spans="1:9" ht="14.4" customHeight="1">
      <c r="A812" s="9">
        <v>3</v>
      </c>
      <c r="B812" s="111"/>
      <c r="C812" s="168" t="s">
        <v>349</v>
      </c>
      <c r="D812" s="169"/>
      <c r="E812" s="9">
        <v>36</v>
      </c>
      <c r="F812" s="7" t="s">
        <v>147</v>
      </c>
      <c r="G812" s="7" t="s">
        <v>147</v>
      </c>
      <c r="H812" s="7" t="s">
        <v>147</v>
      </c>
      <c r="I812" s="7" t="s">
        <v>147</v>
      </c>
    </row>
    <row r="813" spans="1:9" ht="14.4" customHeight="1">
      <c r="A813" s="9">
        <v>3</v>
      </c>
      <c r="B813" s="111"/>
      <c r="C813" s="168" t="s">
        <v>349</v>
      </c>
      <c r="D813" s="169"/>
      <c r="E813" s="9">
        <v>36</v>
      </c>
      <c r="F813" s="7" t="s">
        <v>147</v>
      </c>
      <c r="G813" s="7" t="s">
        <v>147</v>
      </c>
      <c r="H813" s="7" t="s">
        <v>147</v>
      </c>
      <c r="I813" s="7" t="s">
        <v>147</v>
      </c>
    </row>
    <row r="814" spans="1:9" ht="14.4" customHeight="1">
      <c r="A814" s="9">
        <v>3</v>
      </c>
      <c r="B814" s="111"/>
      <c r="C814" s="168" t="s">
        <v>349</v>
      </c>
      <c r="D814" s="169"/>
      <c r="E814" s="9">
        <v>36</v>
      </c>
      <c r="F814" s="7" t="s">
        <v>147</v>
      </c>
      <c r="G814" s="7" t="s">
        <v>147</v>
      </c>
      <c r="H814" s="7" t="s">
        <v>147</v>
      </c>
      <c r="I814" s="7" t="s">
        <v>147</v>
      </c>
    </row>
    <row r="815" spans="1:9" ht="14.4" customHeight="1">
      <c r="A815" s="9">
        <v>3</v>
      </c>
      <c r="B815" s="111"/>
      <c r="C815" s="168" t="s">
        <v>349</v>
      </c>
      <c r="D815" s="169"/>
      <c r="E815" s="9">
        <v>36</v>
      </c>
      <c r="F815" s="7" t="s">
        <v>147</v>
      </c>
      <c r="G815" s="7" t="s">
        <v>147</v>
      </c>
      <c r="H815" s="7" t="s">
        <v>147</v>
      </c>
      <c r="I815" s="7" t="s">
        <v>147</v>
      </c>
    </row>
    <row r="816" spans="1:9" ht="14.4" customHeight="1">
      <c r="A816" s="9">
        <v>3</v>
      </c>
      <c r="B816" s="111"/>
      <c r="C816" s="168" t="s">
        <v>349</v>
      </c>
      <c r="D816" s="169"/>
      <c r="E816" s="9">
        <v>36</v>
      </c>
      <c r="F816" s="7" t="s">
        <v>147</v>
      </c>
      <c r="G816" s="7" t="s">
        <v>147</v>
      </c>
      <c r="H816" s="7" t="s">
        <v>147</v>
      </c>
      <c r="I816" s="7" t="s">
        <v>147</v>
      </c>
    </row>
    <row r="817" spans="1:9" ht="14.4" customHeight="1">
      <c r="A817" s="9">
        <v>3</v>
      </c>
      <c r="B817" s="111"/>
      <c r="C817" s="168" t="s">
        <v>349</v>
      </c>
      <c r="D817" s="169"/>
      <c r="E817" s="9">
        <v>36</v>
      </c>
      <c r="F817" s="7" t="s">
        <v>147</v>
      </c>
      <c r="G817" s="7" t="s">
        <v>147</v>
      </c>
      <c r="H817" s="7" t="s">
        <v>147</v>
      </c>
      <c r="I817" s="7" t="s">
        <v>147</v>
      </c>
    </row>
    <row r="818" spans="1:9" ht="14.4" customHeight="1">
      <c r="A818" s="9">
        <v>3</v>
      </c>
      <c r="B818" s="111"/>
      <c r="C818" s="168" t="s">
        <v>349</v>
      </c>
      <c r="D818" s="169"/>
      <c r="E818" s="9">
        <v>36</v>
      </c>
      <c r="F818" s="7" t="s">
        <v>147</v>
      </c>
      <c r="G818" s="7" t="s">
        <v>147</v>
      </c>
      <c r="H818" s="7" t="s">
        <v>147</v>
      </c>
      <c r="I818" s="7" t="s">
        <v>147</v>
      </c>
    </row>
    <row r="819" spans="1:9" ht="14.4" customHeight="1">
      <c r="A819" s="9">
        <v>3</v>
      </c>
      <c r="B819" s="111"/>
      <c r="C819" s="168" t="s">
        <v>349</v>
      </c>
      <c r="D819" s="169"/>
      <c r="E819" s="9">
        <v>36</v>
      </c>
      <c r="F819" s="7" t="s">
        <v>147</v>
      </c>
      <c r="G819" s="7" t="s">
        <v>147</v>
      </c>
      <c r="H819" s="7" t="s">
        <v>147</v>
      </c>
      <c r="I819" s="7" t="s">
        <v>147</v>
      </c>
    </row>
    <row r="820" spans="1:9" ht="14.4" customHeight="1">
      <c r="A820" s="9">
        <v>3</v>
      </c>
      <c r="B820" s="111"/>
      <c r="C820" s="168" t="s">
        <v>349</v>
      </c>
      <c r="D820" s="169"/>
      <c r="E820" s="9">
        <v>36</v>
      </c>
      <c r="F820" s="7" t="s">
        <v>147</v>
      </c>
      <c r="G820" s="7" t="s">
        <v>147</v>
      </c>
      <c r="H820" s="7" t="s">
        <v>147</v>
      </c>
      <c r="I820" s="7" t="s">
        <v>147</v>
      </c>
    </row>
    <row r="821" spans="1:9" ht="14.4" customHeight="1">
      <c r="A821" s="9">
        <v>3</v>
      </c>
      <c r="B821" s="111"/>
      <c r="C821" s="168" t="s">
        <v>349</v>
      </c>
      <c r="D821" s="169"/>
      <c r="E821" s="9">
        <v>36</v>
      </c>
      <c r="F821" s="7" t="s">
        <v>147</v>
      </c>
      <c r="G821" s="7" t="s">
        <v>147</v>
      </c>
      <c r="H821" s="7" t="s">
        <v>147</v>
      </c>
      <c r="I821" s="7" t="s">
        <v>147</v>
      </c>
    </row>
    <row r="822" spans="1:9" ht="14.4" customHeight="1">
      <c r="A822" s="9">
        <v>3</v>
      </c>
      <c r="B822" s="111"/>
      <c r="C822" s="168" t="s">
        <v>349</v>
      </c>
      <c r="D822" s="169"/>
      <c r="E822" s="9">
        <v>36</v>
      </c>
      <c r="F822" s="7" t="s">
        <v>147</v>
      </c>
      <c r="G822" s="7" t="s">
        <v>147</v>
      </c>
      <c r="H822" s="7" t="s">
        <v>147</v>
      </c>
      <c r="I822" s="7" t="s">
        <v>147</v>
      </c>
    </row>
    <row r="823" spans="1:9" ht="14.4" customHeight="1">
      <c r="A823" s="9">
        <v>3</v>
      </c>
      <c r="B823" s="111"/>
      <c r="C823" s="168" t="s">
        <v>349</v>
      </c>
      <c r="D823" s="169"/>
      <c r="E823" s="9">
        <v>36</v>
      </c>
      <c r="F823" s="7" t="s">
        <v>147</v>
      </c>
      <c r="G823" s="7" t="s">
        <v>147</v>
      </c>
      <c r="H823" s="7" t="s">
        <v>147</v>
      </c>
      <c r="I823" s="7" t="s">
        <v>147</v>
      </c>
    </row>
    <row r="824" spans="1:9" ht="14.4" customHeight="1">
      <c r="A824" s="9">
        <v>3</v>
      </c>
      <c r="B824" s="111"/>
      <c r="C824" s="168" t="s">
        <v>349</v>
      </c>
      <c r="D824" s="169"/>
      <c r="E824" s="9">
        <v>36</v>
      </c>
      <c r="F824" s="7" t="s">
        <v>147</v>
      </c>
      <c r="G824" s="7" t="s">
        <v>147</v>
      </c>
      <c r="H824" s="7" t="s">
        <v>147</v>
      </c>
      <c r="I824" s="7" t="s">
        <v>147</v>
      </c>
    </row>
    <row r="825" spans="1:9" ht="14.4" customHeight="1">
      <c r="A825" s="9">
        <v>3</v>
      </c>
      <c r="B825" s="111"/>
      <c r="C825" s="168" t="s">
        <v>349</v>
      </c>
      <c r="D825" s="169"/>
      <c r="E825" s="9">
        <v>36</v>
      </c>
      <c r="F825" s="7" t="s">
        <v>147</v>
      </c>
      <c r="G825" s="7" t="s">
        <v>147</v>
      </c>
      <c r="H825" s="7" t="s">
        <v>147</v>
      </c>
      <c r="I825" s="7" t="s">
        <v>147</v>
      </c>
    </row>
    <row r="826" spans="1:9" ht="14.4" customHeight="1">
      <c r="A826" s="9">
        <v>3</v>
      </c>
      <c r="B826" s="111"/>
      <c r="C826" s="168" t="s">
        <v>349</v>
      </c>
      <c r="D826" s="169"/>
      <c r="E826" s="9">
        <v>36</v>
      </c>
      <c r="F826" s="7" t="s">
        <v>147</v>
      </c>
      <c r="G826" s="7" t="s">
        <v>147</v>
      </c>
      <c r="H826" s="7" t="s">
        <v>147</v>
      </c>
      <c r="I826" s="7" t="s">
        <v>147</v>
      </c>
    </row>
    <row r="827" spans="1:9" ht="14.4" customHeight="1">
      <c r="A827" s="9">
        <v>3</v>
      </c>
      <c r="B827" s="111"/>
      <c r="C827" s="168" t="s">
        <v>349</v>
      </c>
      <c r="D827" s="169"/>
      <c r="E827" s="9">
        <v>36</v>
      </c>
      <c r="F827" s="7" t="s">
        <v>147</v>
      </c>
      <c r="G827" s="7" t="s">
        <v>147</v>
      </c>
      <c r="H827" s="7" t="s">
        <v>147</v>
      </c>
      <c r="I827" s="7" t="s">
        <v>147</v>
      </c>
    </row>
    <row r="828" spans="1:9" ht="14.4" customHeight="1">
      <c r="A828" s="9">
        <v>3</v>
      </c>
      <c r="B828" s="111"/>
      <c r="C828" s="168" t="s">
        <v>349</v>
      </c>
      <c r="D828" s="169"/>
      <c r="E828" s="9">
        <v>36</v>
      </c>
      <c r="F828" s="7" t="s">
        <v>147</v>
      </c>
      <c r="G828" s="7" t="s">
        <v>147</v>
      </c>
      <c r="H828" s="7" t="s">
        <v>147</v>
      </c>
      <c r="I828" s="7" t="s">
        <v>147</v>
      </c>
    </row>
    <row r="829" spans="1:9" ht="14.4" customHeight="1">
      <c r="A829" s="9">
        <v>3</v>
      </c>
      <c r="B829" s="111"/>
      <c r="C829" s="168" t="s">
        <v>349</v>
      </c>
      <c r="D829" s="169"/>
      <c r="E829" s="9">
        <v>36</v>
      </c>
      <c r="F829" s="7" t="s">
        <v>147</v>
      </c>
      <c r="G829" s="7" t="s">
        <v>147</v>
      </c>
      <c r="H829" s="7" t="s">
        <v>147</v>
      </c>
      <c r="I829" s="7" t="s">
        <v>147</v>
      </c>
    </row>
    <row r="830" spans="1:9" ht="14.4" customHeight="1">
      <c r="A830" s="9">
        <v>3</v>
      </c>
      <c r="B830" s="111"/>
      <c r="C830" s="168" t="s">
        <v>349</v>
      </c>
      <c r="D830" s="169"/>
      <c r="E830" s="9">
        <v>36</v>
      </c>
      <c r="F830" s="7" t="s">
        <v>147</v>
      </c>
      <c r="G830" s="7" t="s">
        <v>147</v>
      </c>
      <c r="H830" s="7" t="s">
        <v>147</v>
      </c>
      <c r="I830" s="7" t="s">
        <v>147</v>
      </c>
    </row>
    <row r="831" spans="1:9" ht="14.4" customHeight="1">
      <c r="A831" s="9">
        <v>3</v>
      </c>
      <c r="B831" s="111"/>
      <c r="C831" s="168" t="s">
        <v>349</v>
      </c>
      <c r="D831" s="169"/>
      <c r="E831" s="9">
        <v>36</v>
      </c>
      <c r="F831" s="7" t="s">
        <v>147</v>
      </c>
      <c r="G831" s="7" t="s">
        <v>147</v>
      </c>
      <c r="H831" s="7" t="s">
        <v>147</v>
      </c>
      <c r="I831" s="7" t="s">
        <v>147</v>
      </c>
    </row>
    <row r="832" spans="1:9" ht="14.4" customHeight="1">
      <c r="A832" s="9">
        <v>3</v>
      </c>
      <c r="B832" s="111"/>
      <c r="C832" s="168" t="s">
        <v>349</v>
      </c>
      <c r="D832" s="169"/>
      <c r="E832" s="9">
        <v>36</v>
      </c>
      <c r="F832" s="7" t="s">
        <v>147</v>
      </c>
      <c r="G832" s="7" t="s">
        <v>147</v>
      </c>
      <c r="H832" s="7" t="s">
        <v>147</v>
      </c>
      <c r="I832" s="7" t="s">
        <v>147</v>
      </c>
    </row>
    <row r="833" spans="1:9" ht="14.4" customHeight="1">
      <c r="A833" s="9">
        <v>3</v>
      </c>
      <c r="B833" s="111"/>
      <c r="C833" s="168" t="s">
        <v>349</v>
      </c>
      <c r="D833" s="169"/>
      <c r="E833" s="9">
        <v>36</v>
      </c>
      <c r="F833" s="7" t="s">
        <v>147</v>
      </c>
      <c r="G833" s="7" t="s">
        <v>147</v>
      </c>
      <c r="H833" s="7" t="s">
        <v>147</v>
      </c>
      <c r="I833" s="7" t="s">
        <v>147</v>
      </c>
    </row>
    <row r="834" spans="1:9" ht="14.4" customHeight="1">
      <c r="A834" s="9">
        <v>3</v>
      </c>
      <c r="B834" s="111"/>
      <c r="C834" s="168" t="s">
        <v>349</v>
      </c>
      <c r="D834" s="169"/>
      <c r="E834" s="9">
        <v>36</v>
      </c>
      <c r="F834" s="7" t="s">
        <v>147</v>
      </c>
      <c r="G834" s="7" t="s">
        <v>147</v>
      </c>
      <c r="H834" s="7" t="s">
        <v>147</v>
      </c>
      <c r="I834" s="7" t="s">
        <v>147</v>
      </c>
    </row>
    <row r="835" spans="1:9" ht="14.4" customHeight="1">
      <c r="A835" s="9">
        <v>3</v>
      </c>
      <c r="B835" s="111"/>
      <c r="C835" s="168" t="s">
        <v>349</v>
      </c>
      <c r="D835" s="169"/>
      <c r="E835" s="9">
        <v>36</v>
      </c>
      <c r="F835" s="7" t="s">
        <v>147</v>
      </c>
      <c r="G835" s="7" t="s">
        <v>147</v>
      </c>
      <c r="H835" s="7" t="s">
        <v>147</v>
      </c>
      <c r="I835" s="7" t="s">
        <v>147</v>
      </c>
    </row>
    <row r="836" spans="1:9" ht="14.4" customHeight="1">
      <c r="A836" s="9">
        <v>3</v>
      </c>
      <c r="B836" s="111"/>
      <c r="C836" s="168" t="s">
        <v>349</v>
      </c>
      <c r="D836" s="169"/>
      <c r="E836" s="9">
        <v>36</v>
      </c>
      <c r="F836" s="7" t="s">
        <v>147</v>
      </c>
      <c r="G836" s="7" t="s">
        <v>147</v>
      </c>
      <c r="H836" s="7" t="s">
        <v>147</v>
      </c>
      <c r="I836" s="7" t="s">
        <v>147</v>
      </c>
    </row>
    <row r="837" spans="1:9" ht="14.4" customHeight="1">
      <c r="A837" s="9">
        <v>3</v>
      </c>
      <c r="B837" s="111"/>
      <c r="C837" s="168" t="s">
        <v>349</v>
      </c>
      <c r="D837" s="169"/>
      <c r="E837" s="9">
        <v>36</v>
      </c>
      <c r="F837" s="7" t="s">
        <v>147</v>
      </c>
      <c r="G837" s="7" t="s">
        <v>147</v>
      </c>
      <c r="H837" s="7" t="s">
        <v>147</v>
      </c>
      <c r="I837" s="7" t="s">
        <v>147</v>
      </c>
    </row>
    <row r="838" spans="1:9" ht="14.4" customHeight="1">
      <c r="A838" s="9">
        <v>3</v>
      </c>
      <c r="B838" s="111"/>
      <c r="C838" s="168" t="s">
        <v>349</v>
      </c>
      <c r="D838" s="169"/>
      <c r="E838" s="9">
        <v>36</v>
      </c>
      <c r="F838" s="7" t="s">
        <v>147</v>
      </c>
      <c r="G838" s="7" t="s">
        <v>147</v>
      </c>
      <c r="H838" s="7" t="s">
        <v>147</v>
      </c>
      <c r="I838" s="7" t="s">
        <v>147</v>
      </c>
    </row>
    <row r="839" spans="1:9" ht="14.4" customHeight="1">
      <c r="A839" s="9">
        <v>3</v>
      </c>
      <c r="B839" s="111"/>
      <c r="C839" s="168" t="s">
        <v>349</v>
      </c>
      <c r="D839" s="169"/>
      <c r="E839" s="9">
        <v>36</v>
      </c>
      <c r="F839" s="7" t="s">
        <v>147</v>
      </c>
      <c r="G839" s="7" t="s">
        <v>147</v>
      </c>
      <c r="H839" s="7" t="s">
        <v>147</v>
      </c>
      <c r="I839" s="7" t="s">
        <v>147</v>
      </c>
    </row>
    <row r="840" spans="1:9" ht="14.4" customHeight="1">
      <c r="A840" s="9">
        <v>3</v>
      </c>
      <c r="B840" s="111"/>
      <c r="C840" s="168" t="s">
        <v>349</v>
      </c>
      <c r="D840" s="169"/>
      <c r="E840" s="9">
        <v>36</v>
      </c>
      <c r="F840" s="7" t="s">
        <v>147</v>
      </c>
      <c r="G840" s="7" t="s">
        <v>147</v>
      </c>
      <c r="H840" s="7" t="s">
        <v>147</v>
      </c>
      <c r="I840" s="7" t="s">
        <v>147</v>
      </c>
    </row>
    <row r="841" spans="1:9" ht="14.4" customHeight="1">
      <c r="A841" s="9">
        <v>3</v>
      </c>
      <c r="B841" s="111"/>
      <c r="C841" s="168" t="s">
        <v>349</v>
      </c>
      <c r="D841" s="169"/>
      <c r="E841" s="9">
        <v>36</v>
      </c>
      <c r="F841" s="7" t="s">
        <v>147</v>
      </c>
      <c r="G841" s="7" t="s">
        <v>147</v>
      </c>
      <c r="H841" s="7" t="s">
        <v>147</v>
      </c>
      <c r="I841" s="7" t="s">
        <v>147</v>
      </c>
    </row>
    <row r="842" spans="1:9" ht="14.4" customHeight="1">
      <c r="A842" s="9">
        <v>3</v>
      </c>
      <c r="B842" s="111"/>
      <c r="C842" s="168" t="s">
        <v>349</v>
      </c>
      <c r="D842" s="169"/>
      <c r="E842" s="9">
        <v>36</v>
      </c>
      <c r="F842" s="7" t="s">
        <v>147</v>
      </c>
      <c r="G842" s="7" t="s">
        <v>147</v>
      </c>
      <c r="H842" s="7" t="s">
        <v>147</v>
      </c>
      <c r="I842" s="7" t="s">
        <v>147</v>
      </c>
    </row>
    <row r="843" spans="1:9" ht="14.4" customHeight="1">
      <c r="A843" s="9">
        <v>3</v>
      </c>
      <c r="B843" s="111"/>
      <c r="C843" s="168" t="s">
        <v>349</v>
      </c>
      <c r="D843" s="169"/>
      <c r="E843" s="9">
        <v>36</v>
      </c>
      <c r="F843" s="7" t="s">
        <v>147</v>
      </c>
      <c r="G843" s="7" t="s">
        <v>147</v>
      </c>
      <c r="H843" s="7" t="s">
        <v>147</v>
      </c>
      <c r="I843" s="7" t="s">
        <v>147</v>
      </c>
    </row>
    <row r="844" spans="1:9" ht="14.4" customHeight="1">
      <c r="A844" s="9">
        <v>3</v>
      </c>
      <c r="B844" s="111"/>
      <c r="C844" s="168" t="s">
        <v>349</v>
      </c>
      <c r="D844" s="169"/>
      <c r="E844" s="9">
        <v>36</v>
      </c>
      <c r="F844" s="7" t="s">
        <v>147</v>
      </c>
      <c r="G844" s="7" t="s">
        <v>147</v>
      </c>
      <c r="H844" s="7" t="s">
        <v>147</v>
      </c>
      <c r="I844" s="7" t="s">
        <v>147</v>
      </c>
    </row>
    <row r="845" spans="1:9" ht="14.4" customHeight="1">
      <c r="A845" s="9">
        <v>3</v>
      </c>
      <c r="B845" s="111"/>
      <c r="C845" s="168" t="s">
        <v>349</v>
      </c>
      <c r="D845" s="169"/>
      <c r="E845" s="9">
        <v>36</v>
      </c>
      <c r="F845" s="7" t="s">
        <v>147</v>
      </c>
      <c r="G845" s="7" t="s">
        <v>147</v>
      </c>
      <c r="H845" s="7" t="s">
        <v>147</v>
      </c>
      <c r="I845" s="7" t="s">
        <v>147</v>
      </c>
    </row>
    <row r="846" spans="1:9" ht="14.4" customHeight="1">
      <c r="A846" s="9">
        <v>3</v>
      </c>
      <c r="B846" s="111"/>
      <c r="C846" s="168" t="s">
        <v>349</v>
      </c>
      <c r="D846" s="169"/>
      <c r="E846" s="9">
        <v>36</v>
      </c>
      <c r="F846" s="7" t="s">
        <v>147</v>
      </c>
      <c r="G846" s="7" t="s">
        <v>147</v>
      </c>
      <c r="H846" s="7" t="s">
        <v>147</v>
      </c>
      <c r="I846" s="7" t="s">
        <v>147</v>
      </c>
    </row>
    <row r="847" spans="1:9" ht="14.4" customHeight="1">
      <c r="A847" s="9">
        <v>3</v>
      </c>
      <c r="B847" s="111"/>
      <c r="C847" s="168" t="s">
        <v>349</v>
      </c>
      <c r="D847" s="169"/>
      <c r="E847" s="9">
        <v>36</v>
      </c>
      <c r="F847" s="7" t="s">
        <v>147</v>
      </c>
      <c r="G847" s="7" t="s">
        <v>147</v>
      </c>
      <c r="H847" s="7" t="s">
        <v>147</v>
      </c>
      <c r="I847" s="7" t="s">
        <v>147</v>
      </c>
    </row>
    <row r="848" spans="1:9" ht="14.4" customHeight="1">
      <c r="A848" s="9">
        <v>3</v>
      </c>
      <c r="B848" s="111"/>
      <c r="C848" s="168" t="s">
        <v>349</v>
      </c>
      <c r="D848" s="169"/>
      <c r="E848" s="9">
        <v>36</v>
      </c>
      <c r="F848" s="7" t="s">
        <v>147</v>
      </c>
      <c r="G848" s="7" t="s">
        <v>147</v>
      </c>
      <c r="H848" s="7" t="s">
        <v>147</v>
      </c>
      <c r="I848" s="7" t="s">
        <v>147</v>
      </c>
    </row>
    <row r="849" spans="1:9" ht="14.4" customHeight="1">
      <c r="A849" s="9">
        <v>3</v>
      </c>
      <c r="B849" s="111"/>
      <c r="C849" s="168" t="s">
        <v>349</v>
      </c>
      <c r="D849" s="169"/>
      <c r="E849" s="9">
        <v>36</v>
      </c>
      <c r="F849" s="7" t="s">
        <v>147</v>
      </c>
      <c r="G849" s="7" t="s">
        <v>147</v>
      </c>
      <c r="H849" s="7" t="s">
        <v>147</v>
      </c>
      <c r="I849" s="7" t="s">
        <v>147</v>
      </c>
    </row>
    <row r="850" spans="1:9" ht="14.4" customHeight="1">
      <c r="A850" s="9">
        <v>3</v>
      </c>
      <c r="B850" s="111"/>
      <c r="C850" s="168" t="s">
        <v>349</v>
      </c>
      <c r="D850" s="169"/>
      <c r="E850" s="9">
        <v>36</v>
      </c>
      <c r="F850" s="7" t="s">
        <v>147</v>
      </c>
      <c r="G850" s="7" t="s">
        <v>147</v>
      </c>
      <c r="H850" s="7" t="s">
        <v>147</v>
      </c>
      <c r="I850" s="7" t="s">
        <v>147</v>
      </c>
    </row>
    <row r="851" spans="1:9" ht="14.4" customHeight="1">
      <c r="A851" s="9">
        <v>3</v>
      </c>
      <c r="B851" s="111"/>
      <c r="C851" s="168" t="s">
        <v>349</v>
      </c>
      <c r="D851" s="169"/>
      <c r="E851" s="9">
        <v>36</v>
      </c>
      <c r="F851" s="7" t="s">
        <v>147</v>
      </c>
      <c r="G851" s="7" t="s">
        <v>147</v>
      </c>
      <c r="H851" s="7" t="s">
        <v>147</v>
      </c>
      <c r="I851" s="7" t="s">
        <v>147</v>
      </c>
    </row>
    <row r="852" spans="1:9" ht="14.4" customHeight="1">
      <c r="A852" s="9">
        <v>3</v>
      </c>
      <c r="B852" s="111"/>
      <c r="C852" s="168" t="s">
        <v>349</v>
      </c>
      <c r="D852" s="169"/>
      <c r="E852" s="9">
        <v>36</v>
      </c>
      <c r="F852" s="7" t="s">
        <v>147</v>
      </c>
      <c r="G852" s="7" t="s">
        <v>147</v>
      </c>
      <c r="H852" s="7" t="s">
        <v>147</v>
      </c>
      <c r="I852" s="7" t="s">
        <v>147</v>
      </c>
    </row>
    <row r="853" spans="1:9" ht="14.4" customHeight="1">
      <c r="A853" s="9">
        <v>3</v>
      </c>
      <c r="B853" s="111"/>
      <c r="C853" s="168" t="s">
        <v>349</v>
      </c>
      <c r="D853" s="169"/>
      <c r="E853" s="9">
        <v>36</v>
      </c>
      <c r="F853" s="7" t="s">
        <v>147</v>
      </c>
      <c r="G853" s="7" t="s">
        <v>147</v>
      </c>
      <c r="H853" s="7" t="s">
        <v>147</v>
      </c>
      <c r="I853" s="7" t="s">
        <v>147</v>
      </c>
    </row>
    <row r="854" spans="1:9" ht="14.4" customHeight="1">
      <c r="A854" s="9">
        <v>3</v>
      </c>
      <c r="B854" s="111"/>
      <c r="C854" s="168" t="s">
        <v>349</v>
      </c>
      <c r="D854" s="169"/>
      <c r="E854" s="9">
        <v>36</v>
      </c>
      <c r="F854" s="7" t="s">
        <v>147</v>
      </c>
      <c r="G854" s="7" t="s">
        <v>147</v>
      </c>
      <c r="H854" s="7" t="s">
        <v>147</v>
      </c>
      <c r="I854" s="7" t="s">
        <v>147</v>
      </c>
    </row>
    <row r="855" spans="1:9" ht="14.4" customHeight="1">
      <c r="A855" s="9">
        <v>3</v>
      </c>
      <c r="B855" s="111"/>
      <c r="C855" s="168" t="s">
        <v>349</v>
      </c>
      <c r="D855" s="169"/>
      <c r="E855" s="9">
        <v>36</v>
      </c>
      <c r="F855" s="7" t="s">
        <v>147</v>
      </c>
      <c r="G855" s="7" t="s">
        <v>147</v>
      </c>
      <c r="H855" s="7" t="s">
        <v>147</v>
      </c>
      <c r="I855" s="7" t="s">
        <v>147</v>
      </c>
    </row>
    <row r="856" spans="1:9" ht="14.4" customHeight="1">
      <c r="A856" s="9">
        <v>3</v>
      </c>
      <c r="B856" s="111"/>
      <c r="C856" s="168" t="s">
        <v>349</v>
      </c>
      <c r="D856" s="169"/>
      <c r="E856" s="9">
        <v>36</v>
      </c>
      <c r="F856" s="7" t="s">
        <v>147</v>
      </c>
      <c r="G856" s="7" t="s">
        <v>147</v>
      </c>
      <c r="H856" s="7" t="s">
        <v>147</v>
      </c>
      <c r="I856" s="7" t="s">
        <v>147</v>
      </c>
    </row>
    <row r="857" spans="1:9" ht="14.4" customHeight="1">
      <c r="A857" s="9">
        <v>3</v>
      </c>
      <c r="B857" s="111"/>
      <c r="C857" s="168" t="s">
        <v>349</v>
      </c>
      <c r="D857" s="169"/>
      <c r="E857" s="9">
        <v>36</v>
      </c>
      <c r="F857" s="7" t="s">
        <v>147</v>
      </c>
      <c r="G857" s="7" t="s">
        <v>147</v>
      </c>
      <c r="H857" s="7" t="s">
        <v>147</v>
      </c>
      <c r="I857" s="7" t="s">
        <v>147</v>
      </c>
    </row>
    <row r="858" spans="1:9" ht="14.4" customHeight="1">
      <c r="A858" s="9">
        <v>3</v>
      </c>
      <c r="B858" s="111"/>
      <c r="C858" s="168" t="s">
        <v>349</v>
      </c>
      <c r="D858" s="169"/>
      <c r="E858" s="9">
        <v>36</v>
      </c>
      <c r="F858" s="7" t="s">
        <v>147</v>
      </c>
      <c r="G858" s="7" t="s">
        <v>147</v>
      </c>
      <c r="H858" s="7" t="s">
        <v>147</v>
      </c>
      <c r="I858" s="7" t="s">
        <v>147</v>
      </c>
    </row>
    <row r="859" spans="1:9" ht="14.4" customHeight="1">
      <c r="A859" s="9">
        <v>3</v>
      </c>
      <c r="B859" s="111"/>
      <c r="C859" s="168" t="s">
        <v>349</v>
      </c>
      <c r="D859" s="169"/>
      <c r="E859" s="9">
        <v>36</v>
      </c>
      <c r="F859" s="7" t="s">
        <v>147</v>
      </c>
      <c r="G859" s="7" t="s">
        <v>147</v>
      </c>
      <c r="H859" s="7" t="s">
        <v>147</v>
      </c>
      <c r="I859" s="7" t="s">
        <v>147</v>
      </c>
    </row>
    <row r="860" spans="1:9" ht="14.4" customHeight="1">
      <c r="A860" s="9">
        <v>3</v>
      </c>
      <c r="B860" s="111"/>
      <c r="C860" s="168" t="s">
        <v>349</v>
      </c>
      <c r="D860" s="169"/>
      <c r="E860" s="9">
        <v>36</v>
      </c>
      <c r="F860" s="7" t="s">
        <v>147</v>
      </c>
      <c r="G860" s="7" t="s">
        <v>147</v>
      </c>
      <c r="H860" s="7" t="s">
        <v>147</v>
      </c>
      <c r="I860" s="7" t="s">
        <v>147</v>
      </c>
    </row>
    <row r="861" spans="1:9" ht="14.4" customHeight="1">
      <c r="A861" s="9">
        <v>3</v>
      </c>
      <c r="B861" s="111"/>
      <c r="C861" s="168" t="s">
        <v>349</v>
      </c>
      <c r="D861" s="169"/>
      <c r="E861" s="9">
        <v>36</v>
      </c>
      <c r="F861" s="7" t="s">
        <v>147</v>
      </c>
      <c r="G861" s="7" t="s">
        <v>147</v>
      </c>
      <c r="H861" s="7" t="s">
        <v>147</v>
      </c>
      <c r="I861" s="7" t="s">
        <v>147</v>
      </c>
    </row>
    <row r="862" spans="1:9" ht="14.4" customHeight="1">
      <c r="A862" s="9">
        <v>3</v>
      </c>
      <c r="B862" s="111"/>
      <c r="C862" s="168" t="s">
        <v>349</v>
      </c>
      <c r="D862" s="169"/>
      <c r="E862" s="9">
        <v>36</v>
      </c>
      <c r="F862" s="7" t="s">
        <v>147</v>
      </c>
      <c r="G862" s="7" t="s">
        <v>147</v>
      </c>
      <c r="H862" s="7" t="s">
        <v>147</v>
      </c>
      <c r="I862" s="7" t="s">
        <v>147</v>
      </c>
    </row>
    <row r="863" spans="1:9" ht="14.4" customHeight="1">
      <c r="A863" s="9">
        <v>3</v>
      </c>
      <c r="B863" s="111"/>
      <c r="C863" s="168" t="s">
        <v>349</v>
      </c>
      <c r="D863" s="169"/>
      <c r="E863" s="9">
        <v>36</v>
      </c>
      <c r="F863" s="7" t="s">
        <v>147</v>
      </c>
      <c r="G863" s="7" t="s">
        <v>147</v>
      </c>
      <c r="H863" s="7" t="s">
        <v>147</v>
      </c>
      <c r="I863" s="7" t="s">
        <v>147</v>
      </c>
    </row>
    <row r="864" spans="1:9" ht="14.4" customHeight="1">
      <c r="A864" s="9">
        <v>3</v>
      </c>
      <c r="B864" s="111"/>
      <c r="C864" s="168" t="s">
        <v>349</v>
      </c>
      <c r="D864" s="169"/>
      <c r="E864" s="9">
        <v>36</v>
      </c>
      <c r="F864" s="7" t="s">
        <v>147</v>
      </c>
      <c r="G864" s="7" t="s">
        <v>147</v>
      </c>
      <c r="H864" s="7" t="s">
        <v>147</v>
      </c>
      <c r="I864" s="7" t="s">
        <v>147</v>
      </c>
    </row>
    <row r="865" spans="1:9" ht="14.4" customHeight="1">
      <c r="A865" s="9">
        <v>3</v>
      </c>
      <c r="B865" s="111"/>
      <c r="C865" s="168" t="s">
        <v>349</v>
      </c>
      <c r="D865" s="169"/>
      <c r="E865" s="9">
        <v>36</v>
      </c>
      <c r="F865" s="7" t="s">
        <v>147</v>
      </c>
      <c r="G865" s="7" t="s">
        <v>147</v>
      </c>
      <c r="H865" s="7" t="s">
        <v>147</v>
      </c>
      <c r="I865" s="7" t="s">
        <v>147</v>
      </c>
    </row>
    <row r="866" spans="1:9" ht="14.4" customHeight="1">
      <c r="A866" s="9">
        <v>3</v>
      </c>
      <c r="B866" s="111"/>
      <c r="C866" s="168" t="s">
        <v>349</v>
      </c>
      <c r="D866" s="169"/>
      <c r="E866" s="9">
        <v>36</v>
      </c>
      <c r="F866" s="7" t="s">
        <v>147</v>
      </c>
      <c r="G866" s="7" t="s">
        <v>147</v>
      </c>
      <c r="H866" s="7" t="s">
        <v>147</v>
      </c>
      <c r="I866" s="7" t="s">
        <v>147</v>
      </c>
    </row>
    <row r="867" spans="1:9" ht="51">
      <c r="A867" s="9">
        <v>1</v>
      </c>
      <c r="B867" s="9"/>
      <c r="C867" s="10" t="s">
        <v>248</v>
      </c>
      <c r="D867" s="10" t="s">
        <v>249</v>
      </c>
      <c r="E867" s="9">
        <v>1</v>
      </c>
      <c r="F867" s="25" t="s">
        <v>250</v>
      </c>
      <c r="G867" s="25" t="s">
        <v>251</v>
      </c>
      <c r="H867" s="25" t="s">
        <v>122</v>
      </c>
      <c r="I867" s="25" t="s">
        <v>251</v>
      </c>
    </row>
    <row r="868" spans="1:9" ht="30.6" customHeight="1">
      <c r="A868" s="189">
        <v>2</v>
      </c>
      <c r="B868" s="87"/>
      <c r="C868" s="198" t="s">
        <v>44</v>
      </c>
      <c r="D868" s="10" t="s">
        <v>252</v>
      </c>
      <c r="E868" s="189">
        <v>1</v>
      </c>
      <c r="F868" s="184" t="s">
        <v>253</v>
      </c>
      <c r="G868" s="184" t="s">
        <v>253</v>
      </c>
      <c r="H868" s="184" t="s">
        <v>253</v>
      </c>
      <c r="I868" s="184" t="s">
        <v>253</v>
      </c>
    </row>
    <row r="869" spans="1:9" ht="40.799999999999997">
      <c r="A869" s="190"/>
      <c r="B869" s="88"/>
      <c r="C869" s="199"/>
      <c r="D869" s="12" t="s">
        <v>45</v>
      </c>
      <c r="E869" s="190"/>
      <c r="F869" s="185"/>
      <c r="G869" s="185"/>
      <c r="H869" s="185"/>
      <c r="I869" s="185"/>
    </row>
    <row r="870" spans="1:9" ht="51">
      <c r="A870" s="191"/>
      <c r="B870" s="89"/>
      <c r="C870" s="200"/>
      <c r="D870" s="7" t="s">
        <v>254</v>
      </c>
      <c r="E870" s="191"/>
      <c r="F870" s="26"/>
      <c r="G870" s="26"/>
      <c r="H870" s="26"/>
      <c r="I870" s="26"/>
    </row>
    <row r="871" spans="1:9" ht="30.6">
      <c r="A871" s="189">
        <v>3</v>
      </c>
      <c r="B871" s="87"/>
      <c r="C871" s="192" t="s">
        <v>255</v>
      </c>
      <c r="D871" s="10" t="s">
        <v>256</v>
      </c>
      <c r="E871" s="189">
        <v>2</v>
      </c>
      <c r="F871" s="195" t="s">
        <v>12</v>
      </c>
      <c r="G871" s="213" t="s">
        <v>21</v>
      </c>
      <c r="H871" s="186" t="s">
        <v>19</v>
      </c>
      <c r="I871" s="213" t="s">
        <v>21</v>
      </c>
    </row>
    <row r="872" spans="1:9" ht="30.6">
      <c r="A872" s="190"/>
      <c r="B872" s="87"/>
      <c r="C872" s="193"/>
      <c r="D872" s="10" t="s">
        <v>256</v>
      </c>
      <c r="E872" s="190"/>
      <c r="F872" s="196"/>
      <c r="G872" s="214"/>
      <c r="H872" s="187"/>
      <c r="I872" s="214"/>
    </row>
    <row r="873" spans="1:9" ht="30.6">
      <c r="A873" s="190"/>
      <c r="B873" s="87"/>
      <c r="C873" s="193"/>
      <c r="D873" s="10" t="s">
        <v>256</v>
      </c>
      <c r="E873" s="190"/>
      <c r="F873" s="196"/>
      <c r="G873" s="214"/>
      <c r="H873" s="187"/>
      <c r="I873" s="214"/>
    </row>
    <row r="874" spans="1:9" ht="30.6">
      <c r="A874" s="190"/>
      <c r="B874" s="87"/>
      <c r="C874" s="193"/>
      <c r="D874" s="10" t="s">
        <v>256</v>
      </c>
      <c r="E874" s="190"/>
      <c r="F874" s="196"/>
      <c r="G874" s="214"/>
      <c r="H874" s="187"/>
      <c r="I874" s="214"/>
    </row>
    <row r="875" spans="1:9" ht="40.799999999999997">
      <c r="A875" s="191"/>
      <c r="B875" s="89"/>
      <c r="C875" s="194"/>
      <c r="D875" s="10" t="s">
        <v>257</v>
      </c>
      <c r="E875" s="191"/>
      <c r="F875" s="197"/>
      <c r="G875" s="215"/>
      <c r="H875" s="188"/>
      <c r="I875" s="215"/>
    </row>
    <row r="876" spans="1:9" ht="51">
      <c r="A876" s="21">
        <v>4</v>
      </c>
      <c r="B876" s="21"/>
      <c r="C876" s="13" t="s">
        <v>240</v>
      </c>
      <c r="D876" s="7" t="s">
        <v>258</v>
      </c>
      <c r="E876" s="6">
        <v>1</v>
      </c>
      <c r="F876" s="8" t="s">
        <v>78</v>
      </c>
      <c r="G876" s="8" t="s">
        <v>74</v>
      </c>
      <c r="H876" s="25" t="s">
        <v>250</v>
      </c>
      <c r="I876" s="8" t="s">
        <v>74</v>
      </c>
    </row>
    <row r="877" spans="1:9" ht="71.400000000000006">
      <c r="A877" s="21">
        <v>5</v>
      </c>
      <c r="B877" s="21"/>
      <c r="C877" s="7" t="s">
        <v>259</v>
      </c>
      <c r="D877" s="7" t="s">
        <v>260</v>
      </c>
      <c r="E877" s="6">
        <v>3</v>
      </c>
      <c r="F877" s="27" t="s">
        <v>253</v>
      </c>
      <c r="G877" s="27" t="s">
        <v>253</v>
      </c>
      <c r="H877" s="27" t="s">
        <v>253</v>
      </c>
      <c r="I877" s="27" t="s">
        <v>253</v>
      </c>
    </row>
    <row r="878" spans="1:9" ht="71.400000000000006">
      <c r="A878" s="21">
        <v>5</v>
      </c>
      <c r="B878" s="21"/>
      <c r="C878" s="7" t="s">
        <v>259</v>
      </c>
      <c r="D878" s="7" t="s">
        <v>260</v>
      </c>
      <c r="E878" s="6">
        <v>3</v>
      </c>
      <c r="F878" s="27" t="s">
        <v>253</v>
      </c>
      <c r="G878" s="27" t="s">
        <v>253</v>
      </c>
      <c r="H878" s="27" t="s">
        <v>253</v>
      </c>
      <c r="I878" s="27" t="s">
        <v>253</v>
      </c>
    </row>
    <row r="879" spans="1:9" ht="71.400000000000006">
      <c r="A879" s="21">
        <v>5</v>
      </c>
      <c r="B879" s="21"/>
      <c r="C879" s="7" t="s">
        <v>259</v>
      </c>
      <c r="D879" s="7" t="s">
        <v>260</v>
      </c>
      <c r="E879" s="6">
        <v>3</v>
      </c>
      <c r="F879" s="27" t="s">
        <v>253</v>
      </c>
      <c r="G879" s="27" t="s">
        <v>253</v>
      </c>
      <c r="H879" s="27" t="s">
        <v>253</v>
      </c>
      <c r="I879" s="27" t="s">
        <v>253</v>
      </c>
    </row>
    <row r="880" spans="1:9" ht="71.400000000000006">
      <c r="A880" s="21">
        <v>5</v>
      </c>
      <c r="B880" s="21"/>
      <c r="C880" s="7" t="s">
        <v>259</v>
      </c>
      <c r="D880" s="7" t="s">
        <v>260</v>
      </c>
      <c r="E880" s="6">
        <v>3</v>
      </c>
      <c r="F880" s="27" t="s">
        <v>253</v>
      </c>
      <c r="G880" s="27" t="s">
        <v>253</v>
      </c>
      <c r="H880" s="27" t="s">
        <v>253</v>
      </c>
      <c r="I880" s="27" t="s">
        <v>253</v>
      </c>
    </row>
    <row r="881" spans="1:9" ht="71.400000000000006">
      <c r="A881" s="21">
        <v>5</v>
      </c>
      <c r="B881" s="21"/>
      <c r="C881" s="7" t="s">
        <v>259</v>
      </c>
      <c r="D881" s="7" t="s">
        <v>260</v>
      </c>
      <c r="E881" s="6">
        <v>3</v>
      </c>
      <c r="F881" s="27" t="s">
        <v>253</v>
      </c>
      <c r="G881" s="27" t="s">
        <v>253</v>
      </c>
      <c r="H881" s="27" t="s">
        <v>253</v>
      </c>
      <c r="I881" s="27" t="s">
        <v>253</v>
      </c>
    </row>
    <row r="882" spans="1:9" ht="71.400000000000006">
      <c r="A882" s="21">
        <v>5</v>
      </c>
      <c r="B882" s="21"/>
      <c r="C882" s="7" t="s">
        <v>259</v>
      </c>
      <c r="D882" s="7" t="s">
        <v>260</v>
      </c>
      <c r="E882" s="6">
        <v>3</v>
      </c>
      <c r="F882" s="27" t="s">
        <v>253</v>
      </c>
      <c r="G882" s="27" t="s">
        <v>253</v>
      </c>
      <c r="H882" s="27" t="s">
        <v>253</v>
      </c>
      <c r="I882" s="27" t="s">
        <v>253</v>
      </c>
    </row>
    <row r="883" spans="1:9" ht="71.400000000000006">
      <c r="A883" s="21">
        <v>5</v>
      </c>
      <c r="B883" s="21"/>
      <c r="C883" s="7" t="s">
        <v>259</v>
      </c>
      <c r="D883" s="7" t="s">
        <v>260</v>
      </c>
      <c r="E883" s="6">
        <v>3</v>
      </c>
      <c r="F883" s="27" t="s">
        <v>253</v>
      </c>
      <c r="G883" s="27" t="s">
        <v>253</v>
      </c>
      <c r="H883" s="27" t="s">
        <v>253</v>
      </c>
      <c r="I883" s="27" t="s">
        <v>253</v>
      </c>
    </row>
    <row r="884" spans="1:9" ht="71.400000000000006">
      <c r="A884" s="21">
        <v>5</v>
      </c>
      <c r="B884" s="21"/>
      <c r="C884" s="7" t="s">
        <v>259</v>
      </c>
      <c r="D884" s="7" t="s">
        <v>260</v>
      </c>
      <c r="E884" s="6">
        <v>3</v>
      </c>
      <c r="F884" s="27" t="s">
        <v>253</v>
      </c>
      <c r="G884" s="27" t="s">
        <v>253</v>
      </c>
      <c r="H884" s="27" t="s">
        <v>253</v>
      </c>
      <c r="I884" s="27" t="s">
        <v>253</v>
      </c>
    </row>
    <row r="885" spans="1:9" ht="71.400000000000006">
      <c r="A885" s="21">
        <v>5</v>
      </c>
      <c r="B885" s="21"/>
      <c r="C885" s="7" t="s">
        <v>259</v>
      </c>
      <c r="D885" s="7" t="s">
        <v>260</v>
      </c>
      <c r="E885" s="6">
        <v>3</v>
      </c>
      <c r="F885" s="27" t="s">
        <v>253</v>
      </c>
      <c r="G885" s="27" t="s">
        <v>253</v>
      </c>
      <c r="H885" s="27" t="s">
        <v>253</v>
      </c>
      <c r="I885" s="27" t="s">
        <v>253</v>
      </c>
    </row>
    <row r="886" spans="1:9" ht="71.400000000000006">
      <c r="A886" s="21">
        <v>5</v>
      </c>
      <c r="B886" s="21"/>
      <c r="C886" s="7" t="s">
        <v>259</v>
      </c>
      <c r="D886" s="7" t="s">
        <v>260</v>
      </c>
      <c r="E886" s="6">
        <v>3</v>
      </c>
      <c r="F886" s="27" t="s">
        <v>253</v>
      </c>
      <c r="G886" s="27" t="s">
        <v>253</v>
      </c>
      <c r="H886" s="27" t="s">
        <v>253</v>
      </c>
      <c r="I886" s="27" t="s">
        <v>253</v>
      </c>
    </row>
    <row r="887" spans="1:9" ht="71.400000000000006">
      <c r="A887" s="21">
        <v>5</v>
      </c>
      <c r="B887" s="21"/>
      <c r="C887" s="7" t="s">
        <v>259</v>
      </c>
      <c r="D887" s="7" t="s">
        <v>260</v>
      </c>
      <c r="E887" s="6">
        <v>3</v>
      </c>
      <c r="F887" s="27" t="s">
        <v>253</v>
      </c>
      <c r="G887" s="27" t="s">
        <v>253</v>
      </c>
      <c r="H887" s="27" t="s">
        <v>253</v>
      </c>
      <c r="I887" s="27" t="s">
        <v>253</v>
      </c>
    </row>
    <row r="888" spans="1:9" ht="71.400000000000006">
      <c r="A888" s="21">
        <v>5</v>
      </c>
      <c r="B888" s="21"/>
      <c r="C888" s="7" t="s">
        <v>259</v>
      </c>
      <c r="D888" s="7" t="s">
        <v>260</v>
      </c>
      <c r="E888" s="6">
        <v>3</v>
      </c>
      <c r="F888" s="27" t="s">
        <v>253</v>
      </c>
      <c r="G888" s="27" t="s">
        <v>253</v>
      </c>
      <c r="H888" s="27" t="s">
        <v>253</v>
      </c>
      <c r="I888" s="27" t="s">
        <v>253</v>
      </c>
    </row>
    <row r="889" spans="1:9" ht="71.400000000000006">
      <c r="A889" s="21">
        <v>5</v>
      </c>
      <c r="B889" s="21"/>
      <c r="C889" s="7" t="s">
        <v>259</v>
      </c>
      <c r="D889" s="7" t="s">
        <v>260</v>
      </c>
      <c r="E889" s="6">
        <v>3</v>
      </c>
      <c r="F889" s="27" t="s">
        <v>253</v>
      </c>
      <c r="G889" s="27" t="s">
        <v>253</v>
      </c>
      <c r="H889" s="27" t="s">
        <v>253</v>
      </c>
      <c r="I889" s="27" t="s">
        <v>253</v>
      </c>
    </row>
    <row r="890" spans="1:9" ht="71.400000000000006">
      <c r="A890" s="21">
        <v>5</v>
      </c>
      <c r="B890" s="21"/>
      <c r="C890" s="7" t="s">
        <v>259</v>
      </c>
      <c r="D890" s="7" t="s">
        <v>260</v>
      </c>
      <c r="E890" s="6">
        <v>3</v>
      </c>
      <c r="F890" s="27" t="s">
        <v>253</v>
      </c>
      <c r="G890" s="27" t="s">
        <v>253</v>
      </c>
      <c r="H890" s="27" t="s">
        <v>253</v>
      </c>
      <c r="I890" s="27" t="s">
        <v>253</v>
      </c>
    </row>
    <row r="891" spans="1:9" ht="71.400000000000006">
      <c r="A891" s="21">
        <v>5</v>
      </c>
      <c r="B891" s="21"/>
      <c r="C891" s="7" t="s">
        <v>259</v>
      </c>
      <c r="D891" s="7" t="s">
        <v>260</v>
      </c>
      <c r="E891" s="6">
        <v>3</v>
      </c>
      <c r="F891" s="27" t="s">
        <v>253</v>
      </c>
      <c r="G891" s="27" t="s">
        <v>253</v>
      </c>
      <c r="H891" s="27" t="s">
        <v>253</v>
      </c>
      <c r="I891" s="27" t="s">
        <v>253</v>
      </c>
    </row>
    <row r="892" spans="1:9" ht="71.400000000000006">
      <c r="A892" s="21">
        <v>5</v>
      </c>
      <c r="B892" s="21"/>
      <c r="C892" s="7" t="s">
        <v>259</v>
      </c>
      <c r="D892" s="7" t="s">
        <v>260</v>
      </c>
      <c r="E892" s="6">
        <v>3</v>
      </c>
      <c r="F892" s="27" t="s">
        <v>253</v>
      </c>
      <c r="G892" s="27" t="s">
        <v>253</v>
      </c>
      <c r="H892" s="27" t="s">
        <v>253</v>
      </c>
      <c r="I892" s="27" t="s">
        <v>253</v>
      </c>
    </row>
    <row r="893" spans="1:9" ht="71.400000000000006">
      <c r="A893" s="21">
        <v>5</v>
      </c>
      <c r="B893" s="21"/>
      <c r="C893" s="7" t="s">
        <v>259</v>
      </c>
      <c r="D893" s="7" t="s">
        <v>260</v>
      </c>
      <c r="E893" s="6">
        <v>3</v>
      </c>
      <c r="F893" s="27" t="s">
        <v>253</v>
      </c>
      <c r="G893" s="27" t="s">
        <v>253</v>
      </c>
      <c r="H893" s="27" t="s">
        <v>253</v>
      </c>
      <c r="I893" s="27" t="s">
        <v>253</v>
      </c>
    </row>
    <row r="894" spans="1:9" ht="71.400000000000006">
      <c r="A894" s="21">
        <v>5</v>
      </c>
      <c r="B894" s="21"/>
      <c r="C894" s="7" t="s">
        <v>259</v>
      </c>
      <c r="D894" s="7" t="s">
        <v>260</v>
      </c>
      <c r="E894" s="6">
        <v>3</v>
      </c>
      <c r="F894" s="27" t="s">
        <v>253</v>
      </c>
      <c r="G894" s="27" t="s">
        <v>253</v>
      </c>
      <c r="H894" s="27" t="s">
        <v>253</v>
      </c>
      <c r="I894" s="27" t="s">
        <v>253</v>
      </c>
    </row>
    <row r="895" spans="1:9" ht="71.400000000000006">
      <c r="A895" s="21">
        <v>5</v>
      </c>
      <c r="B895" s="21"/>
      <c r="C895" s="7" t="s">
        <v>259</v>
      </c>
      <c r="D895" s="7" t="s">
        <v>260</v>
      </c>
      <c r="E895" s="6">
        <v>3</v>
      </c>
      <c r="F895" s="27" t="s">
        <v>253</v>
      </c>
      <c r="G895" s="27" t="s">
        <v>253</v>
      </c>
      <c r="H895" s="27" t="s">
        <v>253</v>
      </c>
      <c r="I895" s="27" t="s">
        <v>253</v>
      </c>
    </row>
    <row r="896" spans="1:9" ht="71.400000000000006">
      <c r="A896" s="21">
        <v>5</v>
      </c>
      <c r="B896" s="21"/>
      <c r="C896" s="7" t="s">
        <v>259</v>
      </c>
      <c r="D896" s="7" t="s">
        <v>260</v>
      </c>
      <c r="E896" s="6">
        <v>3</v>
      </c>
      <c r="F896" s="27" t="s">
        <v>253</v>
      </c>
      <c r="G896" s="27" t="s">
        <v>253</v>
      </c>
      <c r="H896" s="27" t="s">
        <v>253</v>
      </c>
      <c r="I896" s="27" t="s">
        <v>253</v>
      </c>
    </row>
    <row r="897" spans="1:9" ht="71.400000000000006">
      <c r="A897" s="21">
        <v>5</v>
      </c>
      <c r="B897" s="21"/>
      <c r="C897" s="7" t="s">
        <v>259</v>
      </c>
      <c r="D897" s="7" t="s">
        <v>260</v>
      </c>
      <c r="E897" s="6">
        <v>3</v>
      </c>
      <c r="F897" s="27" t="s">
        <v>253</v>
      </c>
      <c r="G897" s="27" t="s">
        <v>253</v>
      </c>
      <c r="H897" s="27" t="s">
        <v>253</v>
      </c>
      <c r="I897" s="27" t="s">
        <v>253</v>
      </c>
    </row>
    <row r="898" spans="1:9" ht="71.400000000000006">
      <c r="A898" s="21">
        <v>5</v>
      </c>
      <c r="B898" s="21"/>
      <c r="C898" s="7" t="s">
        <v>259</v>
      </c>
      <c r="D898" s="7" t="s">
        <v>260</v>
      </c>
      <c r="E898" s="6">
        <v>3</v>
      </c>
      <c r="F898" s="27" t="s">
        <v>253</v>
      </c>
      <c r="G898" s="27" t="s">
        <v>253</v>
      </c>
      <c r="H898" s="27" t="s">
        <v>253</v>
      </c>
      <c r="I898" s="27" t="s">
        <v>253</v>
      </c>
    </row>
    <row r="899" spans="1:9" ht="71.400000000000006">
      <c r="A899" s="21">
        <v>5</v>
      </c>
      <c r="B899" s="21"/>
      <c r="C899" s="7" t="s">
        <v>259</v>
      </c>
      <c r="D899" s="7" t="s">
        <v>260</v>
      </c>
      <c r="E899" s="6">
        <v>3</v>
      </c>
      <c r="F899" s="27" t="s">
        <v>253</v>
      </c>
      <c r="G899" s="27" t="s">
        <v>253</v>
      </c>
      <c r="H899" s="27" t="s">
        <v>253</v>
      </c>
      <c r="I899" s="27" t="s">
        <v>253</v>
      </c>
    </row>
    <row r="900" spans="1:9" ht="71.400000000000006">
      <c r="A900" s="21">
        <v>5</v>
      </c>
      <c r="B900" s="21"/>
      <c r="C900" s="7" t="s">
        <v>259</v>
      </c>
      <c r="D900" s="7" t="s">
        <v>260</v>
      </c>
      <c r="E900" s="6">
        <v>3</v>
      </c>
      <c r="F900" s="27" t="s">
        <v>253</v>
      </c>
      <c r="G900" s="27" t="s">
        <v>253</v>
      </c>
      <c r="H900" s="27" t="s">
        <v>253</v>
      </c>
      <c r="I900" s="27" t="s">
        <v>253</v>
      </c>
    </row>
    <row r="901" spans="1:9" ht="71.400000000000006">
      <c r="A901" s="21">
        <v>5</v>
      </c>
      <c r="B901" s="21"/>
      <c r="C901" s="7" t="s">
        <v>259</v>
      </c>
      <c r="D901" s="7" t="s">
        <v>260</v>
      </c>
      <c r="E901" s="6">
        <v>3</v>
      </c>
      <c r="F901" s="27" t="s">
        <v>253</v>
      </c>
      <c r="G901" s="27" t="s">
        <v>253</v>
      </c>
      <c r="H901" s="27" t="s">
        <v>253</v>
      </c>
      <c r="I901" s="27" t="s">
        <v>253</v>
      </c>
    </row>
    <row r="902" spans="1:9" ht="71.400000000000006">
      <c r="A902" s="21">
        <v>5</v>
      </c>
      <c r="B902" s="21"/>
      <c r="C902" s="7" t="s">
        <v>259</v>
      </c>
      <c r="D902" s="7" t="s">
        <v>260</v>
      </c>
      <c r="E902" s="6">
        <v>3</v>
      </c>
      <c r="F902" s="27" t="s">
        <v>253</v>
      </c>
      <c r="G902" s="27" t="s">
        <v>253</v>
      </c>
      <c r="H902" s="27" t="s">
        <v>253</v>
      </c>
      <c r="I902" s="27" t="s">
        <v>253</v>
      </c>
    </row>
    <row r="903" spans="1:9" ht="71.400000000000006">
      <c r="A903" s="21">
        <v>5</v>
      </c>
      <c r="B903" s="21"/>
      <c r="C903" s="7" t="s">
        <v>259</v>
      </c>
      <c r="D903" s="7" t="s">
        <v>260</v>
      </c>
      <c r="E903" s="6">
        <v>3</v>
      </c>
      <c r="F903" s="27" t="s">
        <v>253</v>
      </c>
      <c r="G903" s="27" t="s">
        <v>253</v>
      </c>
      <c r="H903" s="27" t="s">
        <v>253</v>
      </c>
      <c r="I903" s="27" t="s">
        <v>253</v>
      </c>
    </row>
    <row r="904" spans="1:9" ht="91.8">
      <c r="A904" s="21">
        <v>6</v>
      </c>
      <c r="B904" s="21"/>
      <c r="C904" s="7" t="s">
        <v>261</v>
      </c>
      <c r="D904" s="13" t="s">
        <v>262</v>
      </c>
      <c r="E904" s="6">
        <v>4</v>
      </c>
      <c r="F904" s="24" t="s">
        <v>43</v>
      </c>
      <c r="G904" s="24" t="s">
        <v>43</v>
      </c>
      <c r="H904" s="24" t="s">
        <v>43</v>
      </c>
      <c r="I904" s="24" t="s">
        <v>43</v>
      </c>
    </row>
    <row r="905" spans="1:9" ht="91.8">
      <c r="A905" s="21">
        <v>6</v>
      </c>
      <c r="B905" s="21"/>
      <c r="C905" s="7" t="s">
        <v>261</v>
      </c>
      <c r="D905" s="13" t="s">
        <v>262</v>
      </c>
      <c r="E905" s="6">
        <v>4</v>
      </c>
      <c r="F905" s="24" t="s">
        <v>43</v>
      </c>
      <c r="G905" s="24" t="s">
        <v>43</v>
      </c>
      <c r="H905" s="24" t="s">
        <v>43</v>
      </c>
      <c r="I905" s="24" t="s">
        <v>43</v>
      </c>
    </row>
    <row r="906" spans="1:9" ht="91.8">
      <c r="A906" s="21">
        <v>6</v>
      </c>
      <c r="B906" s="21"/>
      <c r="C906" s="7" t="s">
        <v>261</v>
      </c>
      <c r="D906" s="13" t="s">
        <v>262</v>
      </c>
      <c r="E906" s="6">
        <v>4</v>
      </c>
      <c r="F906" s="24" t="s">
        <v>43</v>
      </c>
      <c r="G906" s="24" t="s">
        <v>43</v>
      </c>
      <c r="H906" s="24" t="s">
        <v>43</v>
      </c>
      <c r="I906" s="24" t="s">
        <v>43</v>
      </c>
    </row>
    <row r="907" spans="1:9" ht="91.8">
      <c r="A907" s="21">
        <v>6</v>
      </c>
      <c r="B907" s="21"/>
      <c r="C907" s="7" t="s">
        <v>261</v>
      </c>
      <c r="D907" s="13" t="s">
        <v>262</v>
      </c>
      <c r="E907" s="6">
        <v>4</v>
      </c>
      <c r="F907" s="24" t="s">
        <v>43</v>
      </c>
      <c r="G907" s="24" t="s">
        <v>43</v>
      </c>
      <c r="H907" s="24" t="s">
        <v>43</v>
      </c>
      <c r="I907" s="24" t="s">
        <v>43</v>
      </c>
    </row>
    <row r="908" spans="1:9" ht="91.8">
      <c r="A908" s="21">
        <v>6</v>
      </c>
      <c r="B908" s="21"/>
      <c r="C908" s="7" t="s">
        <v>261</v>
      </c>
      <c r="D908" s="13" t="s">
        <v>262</v>
      </c>
      <c r="E908" s="6">
        <v>4</v>
      </c>
      <c r="F908" s="24" t="s">
        <v>43</v>
      </c>
      <c r="G908" s="24" t="s">
        <v>43</v>
      </c>
      <c r="H908" s="24" t="s">
        <v>43</v>
      </c>
      <c r="I908" s="24" t="s">
        <v>43</v>
      </c>
    </row>
    <row r="909" spans="1:9" ht="91.8">
      <c r="A909" s="21">
        <v>6</v>
      </c>
      <c r="B909" s="21"/>
      <c r="C909" s="7" t="s">
        <v>261</v>
      </c>
      <c r="D909" s="13" t="s">
        <v>262</v>
      </c>
      <c r="E909" s="6">
        <v>4</v>
      </c>
      <c r="F909" s="24" t="s">
        <v>43</v>
      </c>
      <c r="G909" s="24" t="s">
        <v>43</v>
      </c>
      <c r="H909" s="24" t="s">
        <v>43</v>
      </c>
      <c r="I909" s="24" t="s">
        <v>43</v>
      </c>
    </row>
    <row r="910" spans="1:9" ht="91.8">
      <c r="A910" s="21">
        <v>6</v>
      </c>
      <c r="B910" s="21"/>
      <c r="C910" s="7" t="s">
        <v>261</v>
      </c>
      <c r="D910" s="13" t="s">
        <v>262</v>
      </c>
      <c r="E910" s="6">
        <v>4</v>
      </c>
      <c r="F910" s="24" t="s">
        <v>43</v>
      </c>
      <c r="G910" s="24" t="s">
        <v>43</v>
      </c>
      <c r="H910" s="24" t="s">
        <v>43</v>
      </c>
      <c r="I910" s="24" t="s">
        <v>43</v>
      </c>
    </row>
    <row r="911" spans="1:9" ht="91.8">
      <c r="A911" s="21">
        <v>6</v>
      </c>
      <c r="B911" s="21"/>
      <c r="C911" s="7" t="s">
        <v>261</v>
      </c>
      <c r="D911" s="13" t="s">
        <v>262</v>
      </c>
      <c r="E911" s="6">
        <v>4</v>
      </c>
      <c r="F911" s="24" t="s">
        <v>43</v>
      </c>
      <c r="G911" s="24" t="s">
        <v>43</v>
      </c>
      <c r="H911" s="24" t="s">
        <v>43</v>
      </c>
      <c r="I911" s="24" t="s">
        <v>43</v>
      </c>
    </row>
    <row r="912" spans="1:9" ht="91.8">
      <c r="A912" s="21">
        <v>6</v>
      </c>
      <c r="B912" s="21"/>
      <c r="C912" s="7" t="s">
        <v>261</v>
      </c>
      <c r="D912" s="13" t="s">
        <v>262</v>
      </c>
      <c r="E912" s="6">
        <v>4</v>
      </c>
      <c r="F912" s="24" t="s">
        <v>43</v>
      </c>
      <c r="G912" s="24" t="s">
        <v>43</v>
      </c>
      <c r="H912" s="24" t="s">
        <v>43</v>
      </c>
      <c r="I912" s="24" t="s">
        <v>43</v>
      </c>
    </row>
    <row r="913" spans="1:9" ht="91.8">
      <c r="A913" s="21">
        <v>6</v>
      </c>
      <c r="B913" s="21"/>
      <c r="C913" s="7" t="s">
        <v>261</v>
      </c>
      <c r="D913" s="13" t="s">
        <v>262</v>
      </c>
      <c r="E913" s="6">
        <v>4</v>
      </c>
      <c r="F913" s="24" t="s">
        <v>43</v>
      </c>
      <c r="G913" s="24" t="s">
        <v>43</v>
      </c>
      <c r="H913" s="24" t="s">
        <v>43</v>
      </c>
      <c r="I913" s="24" t="s">
        <v>43</v>
      </c>
    </row>
    <row r="914" spans="1:9" ht="91.8">
      <c r="A914" s="21">
        <v>6</v>
      </c>
      <c r="B914" s="21"/>
      <c r="C914" s="7" t="s">
        <v>261</v>
      </c>
      <c r="D914" s="13" t="s">
        <v>262</v>
      </c>
      <c r="E914" s="6">
        <v>4</v>
      </c>
      <c r="F914" s="24" t="s">
        <v>43</v>
      </c>
      <c r="G914" s="24" t="s">
        <v>43</v>
      </c>
      <c r="H914" s="24" t="s">
        <v>43</v>
      </c>
      <c r="I914" s="24" t="s">
        <v>43</v>
      </c>
    </row>
    <row r="915" spans="1:9" ht="91.8">
      <c r="A915" s="21">
        <v>6</v>
      </c>
      <c r="B915" s="21"/>
      <c r="C915" s="7" t="s">
        <v>261</v>
      </c>
      <c r="D915" s="13" t="s">
        <v>262</v>
      </c>
      <c r="E915" s="6">
        <v>4</v>
      </c>
      <c r="F915" s="24" t="s">
        <v>43</v>
      </c>
      <c r="G915" s="24" t="s">
        <v>43</v>
      </c>
      <c r="H915" s="24" t="s">
        <v>43</v>
      </c>
      <c r="I915" s="24" t="s">
        <v>43</v>
      </c>
    </row>
    <row r="916" spans="1:9" ht="91.8">
      <c r="A916" s="21">
        <v>6</v>
      </c>
      <c r="B916" s="21"/>
      <c r="C916" s="7" t="s">
        <v>261</v>
      </c>
      <c r="D916" s="13" t="s">
        <v>262</v>
      </c>
      <c r="E916" s="6">
        <v>4</v>
      </c>
      <c r="F916" s="24" t="s">
        <v>43</v>
      </c>
      <c r="G916" s="24" t="s">
        <v>43</v>
      </c>
      <c r="H916" s="24" t="s">
        <v>43</v>
      </c>
      <c r="I916" s="24" t="s">
        <v>43</v>
      </c>
    </row>
    <row r="917" spans="1:9" ht="91.8">
      <c r="A917" s="21">
        <v>6</v>
      </c>
      <c r="B917" s="21"/>
      <c r="C917" s="7" t="s">
        <v>261</v>
      </c>
      <c r="D917" s="13" t="s">
        <v>262</v>
      </c>
      <c r="E917" s="6">
        <v>4</v>
      </c>
      <c r="F917" s="24" t="s">
        <v>43</v>
      </c>
      <c r="G917" s="24" t="s">
        <v>43</v>
      </c>
      <c r="H917" s="24" t="s">
        <v>43</v>
      </c>
      <c r="I917" s="24" t="s">
        <v>43</v>
      </c>
    </row>
    <row r="918" spans="1:9" ht="91.8">
      <c r="A918" s="21">
        <v>6</v>
      </c>
      <c r="B918" s="21"/>
      <c r="C918" s="7" t="s">
        <v>261</v>
      </c>
      <c r="D918" s="13" t="s">
        <v>262</v>
      </c>
      <c r="E918" s="6">
        <v>4</v>
      </c>
      <c r="F918" s="24" t="s">
        <v>43</v>
      </c>
      <c r="G918" s="24" t="s">
        <v>43</v>
      </c>
      <c r="H918" s="24" t="s">
        <v>43</v>
      </c>
      <c r="I918" s="24" t="s">
        <v>43</v>
      </c>
    </row>
    <row r="919" spans="1:9" ht="91.8">
      <c r="A919" s="21">
        <v>6</v>
      </c>
      <c r="B919" s="21"/>
      <c r="C919" s="7" t="s">
        <v>261</v>
      </c>
      <c r="D919" s="13" t="s">
        <v>262</v>
      </c>
      <c r="E919" s="6">
        <v>4</v>
      </c>
      <c r="F919" s="24" t="s">
        <v>43</v>
      </c>
      <c r="G919" s="24" t="s">
        <v>43</v>
      </c>
      <c r="H919" s="24" t="s">
        <v>43</v>
      </c>
      <c r="I919" s="24" t="s">
        <v>43</v>
      </c>
    </row>
    <row r="920" spans="1:9" ht="91.8">
      <c r="A920" s="21">
        <v>6</v>
      </c>
      <c r="B920" s="21"/>
      <c r="C920" s="7" t="s">
        <v>261</v>
      </c>
      <c r="D920" s="13" t="s">
        <v>262</v>
      </c>
      <c r="E920" s="6">
        <v>4</v>
      </c>
      <c r="F920" s="24" t="s">
        <v>43</v>
      </c>
      <c r="G920" s="24" t="s">
        <v>43</v>
      </c>
      <c r="H920" s="24" t="s">
        <v>43</v>
      </c>
      <c r="I920" s="24" t="s">
        <v>43</v>
      </c>
    </row>
    <row r="921" spans="1:9" ht="91.8">
      <c r="A921" s="21">
        <v>6</v>
      </c>
      <c r="B921" s="21"/>
      <c r="C921" s="7" t="s">
        <v>261</v>
      </c>
      <c r="D921" s="13" t="s">
        <v>262</v>
      </c>
      <c r="E921" s="6">
        <v>4</v>
      </c>
      <c r="F921" s="24" t="s">
        <v>43</v>
      </c>
      <c r="G921" s="24" t="s">
        <v>43</v>
      </c>
      <c r="H921" s="24" t="s">
        <v>43</v>
      </c>
      <c r="I921" s="24" t="s">
        <v>43</v>
      </c>
    </row>
    <row r="922" spans="1:9" ht="91.8">
      <c r="A922" s="21">
        <v>6</v>
      </c>
      <c r="B922" s="21"/>
      <c r="C922" s="7" t="s">
        <v>261</v>
      </c>
      <c r="D922" s="13" t="s">
        <v>262</v>
      </c>
      <c r="E922" s="6">
        <v>4</v>
      </c>
      <c r="F922" s="24" t="s">
        <v>43</v>
      </c>
      <c r="G922" s="24" t="s">
        <v>43</v>
      </c>
      <c r="H922" s="24" t="s">
        <v>43</v>
      </c>
      <c r="I922" s="24" t="s">
        <v>43</v>
      </c>
    </row>
    <row r="923" spans="1:9" ht="91.8">
      <c r="A923" s="21">
        <v>6</v>
      </c>
      <c r="B923" s="21"/>
      <c r="C923" s="7" t="s">
        <v>261</v>
      </c>
      <c r="D923" s="13" t="s">
        <v>262</v>
      </c>
      <c r="E923" s="6">
        <v>4</v>
      </c>
      <c r="F923" s="24" t="s">
        <v>43</v>
      </c>
      <c r="G923" s="24" t="s">
        <v>43</v>
      </c>
      <c r="H923" s="24" t="s">
        <v>43</v>
      </c>
      <c r="I923" s="24" t="s">
        <v>43</v>
      </c>
    </row>
    <row r="924" spans="1:9" ht="91.8">
      <c r="A924" s="21">
        <v>6</v>
      </c>
      <c r="B924" s="21"/>
      <c r="C924" s="7" t="s">
        <v>261</v>
      </c>
      <c r="D924" s="13" t="s">
        <v>262</v>
      </c>
      <c r="E924" s="6">
        <v>4</v>
      </c>
      <c r="F924" s="24" t="s">
        <v>43</v>
      </c>
      <c r="G924" s="24" t="s">
        <v>43</v>
      </c>
      <c r="H924" s="24" t="s">
        <v>43</v>
      </c>
      <c r="I924" s="24" t="s">
        <v>43</v>
      </c>
    </row>
    <row r="925" spans="1:9" ht="91.8">
      <c r="A925" s="21">
        <v>6</v>
      </c>
      <c r="B925" s="21"/>
      <c r="C925" s="7" t="s">
        <v>261</v>
      </c>
      <c r="D925" s="13" t="s">
        <v>262</v>
      </c>
      <c r="E925" s="6">
        <v>4</v>
      </c>
      <c r="F925" s="24" t="s">
        <v>43</v>
      </c>
      <c r="G925" s="24" t="s">
        <v>43</v>
      </c>
      <c r="H925" s="24" t="s">
        <v>43</v>
      </c>
      <c r="I925" s="24" t="s">
        <v>43</v>
      </c>
    </row>
    <row r="926" spans="1:9" ht="91.8">
      <c r="A926" s="21">
        <v>6</v>
      </c>
      <c r="B926" s="21"/>
      <c r="C926" s="7" t="s">
        <v>261</v>
      </c>
      <c r="D926" s="13" t="s">
        <v>262</v>
      </c>
      <c r="E926" s="6">
        <v>4</v>
      </c>
      <c r="F926" s="24" t="s">
        <v>43</v>
      </c>
      <c r="G926" s="24" t="s">
        <v>43</v>
      </c>
      <c r="H926" s="24" t="s">
        <v>43</v>
      </c>
      <c r="I926" s="24" t="s">
        <v>43</v>
      </c>
    </row>
    <row r="927" spans="1:9" ht="91.8">
      <c r="A927" s="21">
        <v>6</v>
      </c>
      <c r="B927" s="21"/>
      <c r="C927" s="7" t="s">
        <v>261</v>
      </c>
      <c r="D927" s="13" t="s">
        <v>262</v>
      </c>
      <c r="E927" s="6">
        <v>4</v>
      </c>
      <c r="F927" s="24" t="s">
        <v>43</v>
      </c>
      <c r="G927" s="24" t="s">
        <v>43</v>
      </c>
      <c r="H927" s="24" t="s">
        <v>43</v>
      </c>
      <c r="I927" s="24" t="s">
        <v>43</v>
      </c>
    </row>
    <row r="928" spans="1:9" ht="91.8">
      <c r="A928" s="21">
        <v>6</v>
      </c>
      <c r="B928" s="21"/>
      <c r="C928" s="7" t="s">
        <v>261</v>
      </c>
      <c r="D928" s="13" t="s">
        <v>262</v>
      </c>
      <c r="E928" s="6">
        <v>4</v>
      </c>
      <c r="F928" s="24" t="s">
        <v>43</v>
      </c>
      <c r="G928" s="24" t="s">
        <v>43</v>
      </c>
      <c r="H928" s="24" t="s">
        <v>43</v>
      </c>
      <c r="I928" s="24" t="s">
        <v>43</v>
      </c>
    </row>
    <row r="929" spans="1:9" ht="91.8">
      <c r="A929" s="21">
        <v>6</v>
      </c>
      <c r="B929" s="21"/>
      <c r="C929" s="7" t="s">
        <v>261</v>
      </c>
      <c r="D929" s="13" t="s">
        <v>262</v>
      </c>
      <c r="E929" s="6">
        <v>4</v>
      </c>
      <c r="F929" s="24" t="s">
        <v>43</v>
      </c>
      <c r="G929" s="24" t="s">
        <v>43</v>
      </c>
      <c r="H929" s="24" t="s">
        <v>43</v>
      </c>
      <c r="I929" s="24" t="s">
        <v>43</v>
      </c>
    </row>
    <row r="930" spans="1:9" ht="91.8">
      <c r="A930" s="21">
        <v>6</v>
      </c>
      <c r="B930" s="21"/>
      <c r="C930" s="7" t="s">
        <v>261</v>
      </c>
      <c r="D930" s="13" t="s">
        <v>262</v>
      </c>
      <c r="E930" s="6">
        <v>4</v>
      </c>
      <c r="F930" s="24" t="s">
        <v>43</v>
      </c>
      <c r="G930" s="24" t="s">
        <v>43</v>
      </c>
      <c r="H930" s="24" t="s">
        <v>43</v>
      </c>
      <c r="I930" s="24" t="s">
        <v>43</v>
      </c>
    </row>
    <row r="931" spans="1:9" ht="91.8">
      <c r="A931" s="21">
        <v>6</v>
      </c>
      <c r="B931" s="21"/>
      <c r="C931" s="7" t="s">
        <v>261</v>
      </c>
      <c r="D931" s="13" t="s">
        <v>262</v>
      </c>
      <c r="E931" s="6">
        <v>4</v>
      </c>
      <c r="F931" s="24" t="s">
        <v>43</v>
      </c>
      <c r="G931" s="24" t="s">
        <v>43</v>
      </c>
      <c r="H931" s="24" t="s">
        <v>43</v>
      </c>
      <c r="I931" s="24" t="s">
        <v>43</v>
      </c>
    </row>
    <row r="932" spans="1:9" ht="91.8">
      <c r="A932" s="21">
        <v>6</v>
      </c>
      <c r="B932" s="21"/>
      <c r="C932" s="7" t="s">
        <v>261</v>
      </c>
      <c r="D932" s="13" t="s">
        <v>262</v>
      </c>
      <c r="E932" s="6">
        <v>4</v>
      </c>
      <c r="F932" s="24" t="s">
        <v>43</v>
      </c>
      <c r="G932" s="24" t="s">
        <v>43</v>
      </c>
      <c r="H932" s="24" t="s">
        <v>43</v>
      </c>
      <c r="I932" s="24" t="s">
        <v>43</v>
      </c>
    </row>
    <row r="933" spans="1:9" ht="91.8">
      <c r="A933" s="21">
        <v>6</v>
      </c>
      <c r="B933" s="21"/>
      <c r="C933" s="7" t="s">
        <v>261</v>
      </c>
      <c r="D933" s="13" t="s">
        <v>262</v>
      </c>
      <c r="E933" s="6">
        <v>4</v>
      </c>
      <c r="F933" s="24" t="s">
        <v>43</v>
      </c>
      <c r="G933" s="24" t="s">
        <v>43</v>
      </c>
      <c r="H933" s="24" t="s">
        <v>43</v>
      </c>
      <c r="I933" s="24" t="s">
        <v>43</v>
      </c>
    </row>
    <row r="934" spans="1:9" ht="91.8">
      <c r="A934" s="21">
        <v>6</v>
      </c>
      <c r="B934" s="21"/>
      <c r="C934" s="7" t="s">
        <v>261</v>
      </c>
      <c r="D934" s="13" t="s">
        <v>262</v>
      </c>
      <c r="E934" s="6">
        <v>4</v>
      </c>
      <c r="F934" s="24" t="s">
        <v>43</v>
      </c>
      <c r="G934" s="24" t="s">
        <v>43</v>
      </c>
      <c r="H934" s="24" t="s">
        <v>43</v>
      </c>
      <c r="I934" s="24" t="s">
        <v>43</v>
      </c>
    </row>
    <row r="935" spans="1:9" ht="91.8">
      <c r="A935" s="21">
        <v>6</v>
      </c>
      <c r="B935" s="21"/>
      <c r="C935" s="7" t="s">
        <v>261</v>
      </c>
      <c r="D935" s="13" t="s">
        <v>262</v>
      </c>
      <c r="E935" s="6">
        <v>4</v>
      </c>
      <c r="F935" s="24" t="s">
        <v>43</v>
      </c>
      <c r="G935" s="24" t="s">
        <v>43</v>
      </c>
      <c r="H935" s="24" t="s">
        <v>43</v>
      </c>
      <c r="I935" s="24" t="s">
        <v>43</v>
      </c>
    </row>
    <row r="936" spans="1:9" ht="91.8">
      <c r="A936" s="21">
        <v>6</v>
      </c>
      <c r="B936" s="21"/>
      <c r="C936" s="7" t="s">
        <v>261</v>
      </c>
      <c r="D936" s="13" t="s">
        <v>262</v>
      </c>
      <c r="E936" s="6">
        <v>4</v>
      </c>
      <c r="F936" s="24" t="s">
        <v>43</v>
      </c>
      <c r="G936" s="24" t="s">
        <v>43</v>
      </c>
      <c r="H936" s="24" t="s">
        <v>43</v>
      </c>
      <c r="I936" s="24" t="s">
        <v>43</v>
      </c>
    </row>
    <row r="937" spans="1:9" ht="91.8">
      <c r="A937" s="21">
        <v>6</v>
      </c>
      <c r="B937" s="21"/>
      <c r="C937" s="7" t="s">
        <v>261</v>
      </c>
      <c r="D937" s="13" t="s">
        <v>262</v>
      </c>
      <c r="E937" s="6">
        <v>4</v>
      </c>
      <c r="F937" s="24" t="s">
        <v>43</v>
      </c>
      <c r="G937" s="24" t="s">
        <v>43</v>
      </c>
      <c r="H937" s="24" t="s">
        <v>43</v>
      </c>
      <c r="I937" s="24" t="s">
        <v>43</v>
      </c>
    </row>
    <row r="938" spans="1:9" ht="91.8">
      <c r="A938" s="21">
        <v>6</v>
      </c>
      <c r="B938" s="21"/>
      <c r="C938" s="7" t="s">
        <v>261</v>
      </c>
      <c r="D938" s="13" t="s">
        <v>262</v>
      </c>
      <c r="E938" s="6">
        <v>4</v>
      </c>
      <c r="F938" s="24" t="s">
        <v>43</v>
      </c>
      <c r="G938" s="24" t="s">
        <v>43</v>
      </c>
      <c r="H938" s="24" t="s">
        <v>43</v>
      </c>
      <c r="I938" s="24" t="s">
        <v>43</v>
      </c>
    </row>
    <row r="939" spans="1:9" ht="91.8">
      <c r="A939" s="21">
        <v>6</v>
      </c>
      <c r="B939" s="21"/>
      <c r="C939" s="7" t="s">
        <v>261</v>
      </c>
      <c r="D939" s="13" t="s">
        <v>262</v>
      </c>
      <c r="E939" s="6">
        <v>4</v>
      </c>
      <c r="F939" s="24" t="s">
        <v>43</v>
      </c>
      <c r="G939" s="24" t="s">
        <v>43</v>
      </c>
      <c r="H939" s="24" t="s">
        <v>43</v>
      </c>
      <c r="I939" s="24" t="s">
        <v>43</v>
      </c>
    </row>
    <row r="940" spans="1:9" ht="91.8">
      <c r="A940" s="21">
        <v>6</v>
      </c>
      <c r="B940" s="21"/>
      <c r="C940" s="7" t="s">
        <v>261</v>
      </c>
      <c r="D940" s="13" t="s">
        <v>262</v>
      </c>
      <c r="E940" s="6">
        <v>4</v>
      </c>
      <c r="F940" s="24" t="s">
        <v>43</v>
      </c>
      <c r="G940" s="24" t="s">
        <v>43</v>
      </c>
      <c r="H940" s="24" t="s">
        <v>43</v>
      </c>
      <c r="I940" s="24" t="s">
        <v>43</v>
      </c>
    </row>
    <row r="941" spans="1:9" ht="91.8">
      <c r="A941" s="21">
        <v>6</v>
      </c>
      <c r="B941" s="21"/>
      <c r="C941" s="7" t="s">
        <v>261</v>
      </c>
      <c r="D941" s="13" t="s">
        <v>262</v>
      </c>
      <c r="E941" s="6">
        <v>4</v>
      </c>
      <c r="F941" s="24" t="s">
        <v>43</v>
      </c>
      <c r="G941" s="24" t="s">
        <v>43</v>
      </c>
      <c r="H941" s="24" t="s">
        <v>43</v>
      </c>
      <c r="I941" s="24" t="s">
        <v>43</v>
      </c>
    </row>
    <row r="942" spans="1:9" ht="91.8">
      <c r="A942" s="21">
        <v>6</v>
      </c>
      <c r="B942" s="21"/>
      <c r="C942" s="7" t="s">
        <v>261</v>
      </c>
      <c r="D942" s="13" t="s">
        <v>262</v>
      </c>
      <c r="E942" s="6">
        <v>4</v>
      </c>
      <c r="F942" s="24" t="s">
        <v>43</v>
      </c>
      <c r="G942" s="24" t="s">
        <v>43</v>
      </c>
      <c r="H942" s="24" t="s">
        <v>43</v>
      </c>
      <c r="I942" s="24" t="s">
        <v>43</v>
      </c>
    </row>
    <row r="943" spans="1:9" ht="91.8">
      <c r="A943" s="21">
        <v>6</v>
      </c>
      <c r="B943" s="21"/>
      <c r="C943" s="7" t="s">
        <v>261</v>
      </c>
      <c r="D943" s="13" t="s">
        <v>262</v>
      </c>
      <c r="E943" s="6">
        <v>4</v>
      </c>
      <c r="F943" s="24" t="s">
        <v>43</v>
      </c>
      <c r="G943" s="24" t="s">
        <v>43</v>
      </c>
      <c r="H943" s="24" t="s">
        <v>43</v>
      </c>
      <c r="I943" s="24" t="s">
        <v>43</v>
      </c>
    </row>
    <row r="944" spans="1:9" ht="91.8">
      <c r="A944" s="21">
        <v>6</v>
      </c>
      <c r="B944" s="21"/>
      <c r="C944" s="7" t="s">
        <v>261</v>
      </c>
      <c r="D944" s="13" t="s">
        <v>262</v>
      </c>
      <c r="E944" s="6">
        <v>4</v>
      </c>
      <c r="F944" s="24" t="s">
        <v>43</v>
      </c>
      <c r="G944" s="24" t="s">
        <v>43</v>
      </c>
      <c r="H944" s="24" t="s">
        <v>43</v>
      </c>
      <c r="I944" s="24" t="s">
        <v>43</v>
      </c>
    </row>
    <row r="945" spans="1:9" ht="91.8">
      <c r="A945" s="21">
        <v>6</v>
      </c>
      <c r="B945" s="21"/>
      <c r="C945" s="7" t="s">
        <v>261</v>
      </c>
      <c r="D945" s="13" t="s">
        <v>262</v>
      </c>
      <c r="E945" s="6">
        <v>4</v>
      </c>
      <c r="F945" s="24" t="s">
        <v>43</v>
      </c>
      <c r="G945" s="24" t="s">
        <v>43</v>
      </c>
      <c r="H945" s="24" t="s">
        <v>43</v>
      </c>
      <c r="I945" s="24" t="s">
        <v>43</v>
      </c>
    </row>
    <row r="946" spans="1:9" ht="91.8">
      <c r="A946" s="21">
        <v>6</v>
      </c>
      <c r="B946" s="21"/>
      <c r="C946" s="7" t="s">
        <v>261</v>
      </c>
      <c r="D946" s="13" t="s">
        <v>262</v>
      </c>
      <c r="E946" s="6">
        <v>4</v>
      </c>
      <c r="F946" s="24" t="s">
        <v>43</v>
      </c>
      <c r="G946" s="24" t="s">
        <v>43</v>
      </c>
      <c r="H946" s="24" t="s">
        <v>43</v>
      </c>
      <c r="I946" s="24" t="s">
        <v>43</v>
      </c>
    </row>
    <row r="947" spans="1:9" ht="91.8">
      <c r="A947" s="21">
        <v>6</v>
      </c>
      <c r="B947" s="21"/>
      <c r="C947" s="7" t="s">
        <v>261</v>
      </c>
      <c r="D947" s="13" t="s">
        <v>262</v>
      </c>
      <c r="E947" s="6">
        <v>4</v>
      </c>
      <c r="F947" s="24" t="s">
        <v>43</v>
      </c>
      <c r="G947" s="24" t="s">
        <v>43</v>
      </c>
      <c r="H947" s="24" t="s">
        <v>43</v>
      </c>
      <c r="I947" s="24" t="s">
        <v>43</v>
      </c>
    </row>
    <row r="948" spans="1:9" ht="91.8">
      <c r="A948" s="21">
        <v>6</v>
      </c>
      <c r="B948" s="21"/>
      <c r="C948" s="7" t="s">
        <v>261</v>
      </c>
      <c r="D948" s="13" t="s">
        <v>262</v>
      </c>
      <c r="E948" s="6">
        <v>4</v>
      </c>
      <c r="F948" s="24" t="s">
        <v>43</v>
      </c>
      <c r="G948" s="24" t="s">
        <v>43</v>
      </c>
      <c r="H948" s="24" t="s">
        <v>43</v>
      </c>
      <c r="I948" s="24" t="s">
        <v>43</v>
      </c>
    </row>
    <row r="949" spans="1:9" ht="91.8">
      <c r="A949" s="21">
        <v>6</v>
      </c>
      <c r="B949" s="21"/>
      <c r="C949" s="7" t="s">
        <v>261</v>
      </c>
      <c r="D949" s="13" t="s">
        <v>262</v>
      </c>
      <c r="E949" s="6">
        <v>4</v>
      </c>
      <c r="F949" s="24" t="s">
        <v>43</v>
      </c>
      <c r="G949" s="24" t="s">
        <v>43</v>
      </c>
      <c r="H949" s="24" t="s">
        <v>43</v>
      </c>
      <c r="I949" s="24" t="s">
        <v>43</v>
      </c>
    </row>
    <row r="950" spans="1:9" ht="91.8">
      <c r="A950" s="21">
        <v>6</v>
      </c>
      <c r="B950" s="21"/>
      <c r="C950" s="7" t="s">
        <v>261</v>
      </c>
      <c r="D950" s="13" t="s">
        <v>262</v>
      </c>
      <c r="E950" s="6">
        <v>4</v>
      </c>
      <c r="F950" s="24" t="s">
        <v>43</v>
      </c>
      <c r="G950" s="24" t="s">
        <v>43</v>
      </c>
      <c r="H950" s="24" t="s">
        <v>43</v>
      </c>
      <c r="I950" s="24" t="s">
        <v>43</v>
      </c>
    </row>
    <row r="951" spans="1:9" ht="91.8">
      <c r="A951" s="21">
        <v>6</v>
      </c>
      <c r="B951" s="21"/>
      <c r="C951" s="7" t="s">
        <v>261</v>
      </c>
      <c r="D951" s="13" t="s">
        <v>262</v>
      </c>
      <c r="E951" s="6">
        <v>4</v>
      </c>
      <c r="F951" s="24" t="s">
        <v>43</v>
      </c>
      <c r="G951" s="24" t="s">
        <v>43</v>
      </c>
      <c r="H951" s="24" t="s">
        <v>43</v>
      </c>
      <c r="I951" s="24" t="s">
        <v>43</v>
      </c>
    </row>
    <row r="952" spans="1:9" ht="91.8">
      <c r="A952" s="21">
        <v>6</v>
      </c>
      <c r="B952" s="21"/>
      <c r="C952" s="7" t="s">
        <v>261</v>
      </c>
      <c r="D952" s="13" t="s">
        <v>262</v>
      </c>
      <c r="E952" s="6">
        <v>4</v>
      </c>
      <c r="F952" s="24" t="s">
        <v>43</v>
      </c>
      <c r="G952" s="24" t="s">
        <v>43</v>
      </c>
      <c r="H952" s="24" t="s">
        <v>43</v>
      </c>
      <c r="I952" s="24" t="s">
        <v>43</v>
      </c>
    </row>
    <row r="953" spans="1:9" ht="91.8">
      <c r="A953" s="21">
        <v>6</v>
      </c>
      <c r="B953" s="21"/>
      <c r="C953" s="7" t="s">
        <v>261</v>
      </c>
      <c r="D953" s="13" t="s">
        <v>262</v>
      </c>
      <c r="E953" s="6">
        <v>4</v>
      </c>
      <c r="F953" s="24" t="s">
        <v>43</v>
      </c>
      <c r="G953" s="24" t="s">
        <v>43</v>
      </c>
      <c r="H953" s="24" t="s">
        <v>43</v>
      </c>
      <c r="I953" s="24" t="s">
        <v>43</v>
      </c>
    </row>
    <row r="954" spans="1:9" ht="91.8">
      <c r="A954" s="21">
        <v>6</v>
      </c>
      <c r="B954" s="21"/>
      <c r="C954" s="7" t="s">
        <v>261</v>
      </c>
      <c r="D954" s="13" t="s">
        <v>262</v>
      </c>
      <c r="E954" s="6">
        <v>4</v>
      </c>
      <c r="F954" s="24" t="s">
        <v>43</v>
      </c>
      <c r="G954" s="24" t="s">
        <v>43</v>
      </c>
      <c r="H954" s="24" t="s">
        <v>43</v>
      </c>
      <c r="I954" s="24" t="s">
        <v>43</v>
      </c>
    </row>
    <row r="955" spans="1:9" ht="91.8">
      <c r="A955" s="21">
        <v>6</v>
      </c>
      <c r="B955" s="21"/>
      <c r="C955" s="7" t="s">
        <v>261</v>
      </c>
      <c r="D955" s="13" t="s">
        <v>262</v>
      </c>
      <c r="E955" s="6">
        <v>4</v>
      </c>
      <c r="F955" s="24" t="s">
        <v>43</v>
      </c>
      <c r="G955" s="24" t="s">
        <v>43</v>
      </c>
      <c r="H955" s="24" t="s">
        <v>43</v>
      </c>
      <c r="I955" s="24" t="s">
        <v>43</v>
      </c>
    </row>
    <row r="956" spans="1:9" ht="91.8">
      <c r="A956" s="21">
        <v>6</v>
      </c>
      <c r="B956" s="21"/>
      <c r="C956" s="7" t="s">
        <v>261</v>
      </c>
      <c r="D956" s="13" t="s">
        <v>262</v>
      </c>
      <c r="E956" s="6">
        <v>4</v>
      </c>
      <c r="F956" s="24" t="s">
        <v>43</v>
      </c>
      <c r="G956" s="24" t="s">
        <v>43</v>
      </c>
      <c r="H956" s="24" t="s">
        <v>43</v>
      </c>
      <c r="I956" s="24" t="s">
        <v>43</v>
      </c>
    </row>
    <row r="957" spans="1:9" ht="91.8">
      <c r="A957" s="21">
        <v>6</v>
      </c>
      <c r="B957" s="21"/>
      <c r="C957" s="7" t="s">
        <v>261</v>
      </c>
      <c r="D957" s="13" t="s">
        <v>262</v>
      </c>
      <c r="E957" s="6">
        <v>4</v>
      </c>
      <c r="F957" s="24" t="s">
        <v>43</v>
      </c>
      <c r="G957" s="24" t="s">
        <v>43</v>
      </c>
      <c r="H957" s="24" t="s">
        <v>43</v>
      </c>
      <c r="I957" s="24" t="s">
        <v>43</v>
      </c>
    </row>
    <row r="958" spans="1:9" ht="91.8">
      <c r="A958" s="21">
        <v>6</v>
      </c>
      <c r="B958" s="21"/>
      <c r="C958" s="7" t="s">
        <v>261</v>
      </c>
      <c r="D958" s="13" t="s">
        <v>262</v>
      </c>
      <c r="E958" s="6">
        <v>4</v>
      </c>
      <c r="F958" s="24" t="s">
        <v>43</v>
      </c>
      <c r="G958" s="24" t="s">
        <v>43</v>
      </c>
      <c r="H958" s="24" t="s">
        <v>43</v>
      </c>
      <c r="I958" s="24" t="s">
        <v>43</v>
      </c>
    </row>
    <row r="959" spans="1:9" ht="91.8">
      <c r="A959" s="21">
        <v>6</v>
      </c>
      <c r="B959" s="21"/>
      <c r="C959" s="7" t="s">
        <v>261</v>
      </c>
      <c r="D959" s="13" t="s">
        <v>262</v>
      </c>
      <c r="E959" s="6">
        <v>4</v>
      </c>
      <c r="F959" s="24" t="s">
        <v>43</v>
      </c>
      <c r="G959" s="24" t="s">
        <v>43</v>
      </c>
      <c r="H959" s="24" t="s">
        <v>43</v>
      </c>
      <c r="I959" s="24" t="s">
        <v>43</v>
      </c>
    </row>
    <row r="960" spans="1:9" ht="91.8">
      <c r="A960" s="21">
        <v>6</v>
      </c>
      <c r="B960" s="21"/>
      <c r="C960" s="7" t="s">
        <v>261</v>
      </c>
      <c r="D960" s="13" t="s">
        <v>262</v>
      </c>
      <c r="E960" s="6">
        <v>4</v>
      </c>
      <c r="F960" s="24" t="s">
        <v>43</v>
      </c>
      <c r="G960" s="24" t="s">
        <v>43</v>
      </c>
      <c r="H960" s="24" t="s">
        <v>43</v>
      </c>
      <c r="I960" s="24" t="s">
        <v>43</v>
      </c>
    </row>
    <row r="961" spans="1:9" ht="91.8">
      <c r="A961" s="21">
        <v>6</v>
      </c>
      <c r="B961" s="21"/>
      <c r="C961" s="7" t="s">
        <v>261</v>
      </c>
      <c r="D961" s="13" t="s">
        <v>262</v>
      </c>
      <c r="E961" s="6">
        <v>4</v>
      </c>
      <c r="F961" s="24" t="s">
        <v>43</v>
      </c>
      <c r="G961" s="24" t="s">
        <v>43</v>
      </c>
      <c r="H961" s="24" t="s">
        <v>43</v>
      </c>
      <c r="I961" s="24" t="s">
        <v>43</v>
      </c>
    </row>
    <row r="962" spans="1:9" ht="91.8">
      <c r="A962" s="21">
        <v>6</v>
      </c>
      <c r="B962" s="21"/>
      <c r="C962" s="7" t="s">
        <v>261</v>
      </c>
      <c r="D962" s="13" t="s">
        <v>262</v>
      </c>
      <c r="E962" s="6">
        <v>4</v>
      </c>
      <c r="F962" s="24" t="s">
        <v>43</v>
      </c>
      <c r="G962" s="24" t="s">
        <v>43</v>
      </c>
      <c r="H962" s="24" t="s">
        <v>43</v>
      </c>
      <c r="I962" s="24" t="s">
        <v>43</v>
      </c>
    </row>
    <row r="963" spans="1:9" ht="91.8">
      <c r="A963" s="21">
        <v>6</v>
      </c>
      <c r="B963" s="21"/>
      <c r="C963" s="7" t="s">
        <v>261</v>
      </c>
      <c r="D963" s="13" t="s">
        <v>262</v>
      </c>
      <c r="E963" s="6">
        <v>4</v>
      </c>
      <c r="F963" s="24" t="s">
        <v>43</v>
      </c>
      <c r="G963" s="24" t="s">
        <v>43</v>
      </c>
      <c r="H963" s="24" t="s">
        <v>43</v>
      </c>
      <c r="I963" s="24" t="s">
        <v>43</v>
      </c>
    </row>
    <row r="964" spans="1:9" ht="91.8">
      <c r="A964" s="21">
        <v>6</v>
      </c>
      <c r="B964" s="21"/>
      <c r="C964" s="7" t="s">
        <v>261</v>
      </c>
      <c r="D964" s="13" t="s">
        <v>262</v>
      </c>
      <c r="E964" s="6">
        <v>4</v>
      </c>
      <c r="F964" s="24" t="s">
        <v>43</v>
      </c>
      <c r="G964" s="24" t="s">
        <v>43</v>
      </c>
      <c r="H964" s="24" t="s">
        <v>43</v>
      </c>
      <c r="I964" s="24" t="s">
        <v>43</v>
      </c>
    </row>
    <row r="965" spans="1:9" ht="91.8">
      <c r="A965" s="21">
        <v>6</v>
      </c>
      <c r="B965" s="21"/>
      <c r="C965" s="7" t="s">
        <v>261</v>
      </c>
      <c r="D965" s="13" t="s">
        <v>262</v>
      </c>
      <c r="E965" s="6">
        <v>4</v>
      </c>
      <c r="F965" s="24" t="s">
        <v>43</v>
      </c>
      <c r="G965" s="24" t="s">
        <v>43</v>
      </c>
      <c r="H965" s="24" t="s">
        <v>43</v>
      </c>
      <c r="I965" s="24" t="s">
        <v>43</v>
      </c>
    </row>
    <row r="966" spans="1:9" ht="91.8">
      <c r="A966" s="21">
        <v>6</v>
      </c>
      <c r="B966" s="21"/>
      <c r="C966" s="7" t="s">
        <v>261</v>
      </c>
      <c r="D966" s="13" t="s">
        <v>262</v>
      </c>
      <c r="E966" s="6">
        <v>4</v>
      </c>
      <c r="F966" s="24" t="s">
        <v>43</v>
      </c>
      <c r="G966" s="24" t="s">
        <v>43</v>
      </c>
      <c r="H966" s="24" t="s">
        <v>43</v>
      </c>
      <c r="I966" s="24" t="s">
        <v>43</v>
      </c>
    </row>
    <row r="967" spans="1:9" ht="91.8">
      <c r="A967" s="21">
        <v>6</v>
      </c>
      <c r="B967" s="21"/>
      <c r="C967" s="7" t="s">
        <v>261</v>
      </c>
      <c r="D967" s="13" t="s">
        <v>262</v>
      </c>
      <c r="E967" s="6">
        <v>4</v>
      </c>
      <c r="F967" s="24" t="s">
        <v>43</v>
      </c>
      <c r="G967" s="24" t="s">
        <v>43</v>
      </c>
      <c r="H967" s="24" t="s">
        <v>43</v>
      </c>
      <c r="I967" s="24" t="s">
        <v>43</v>
      </c>
    </row>
    <row r="968" spans="1:9" ht="91.8">
      <c r="A968" s="21">
        <v>6</v>
      </c>
      <c r="B968" s="21"/>
      <c r="C968" s="7" t="s">
        <v>261</v>
      </c>
      <c r="D968" s="13" t="s">
        <v>262</v>
      </c>
      <c r="E968" s="6">
        <v>4</v>
      </c>
      <c r="F968" s="24" t="s">
        <v>43</v>
      </c>
      <c r="G968" s="24" t="s">
        <v>43</v>
      </c>
      <c r="H968" s="24" t="s">
        <v>43</v>
      </c>
      <c r="I968" s="24" t="s">
        <v>43</v>
      </c>
    </row>
    <row r="969" spans="1:9" ht="91.8">
      <c r="A969" s="21">
        <v>6</v>
      </c>
      <c r="B969" s="21"/>
      <c r="C969" s="7" t="s">
        <v>261</v>
      </c>
      <c r="D969" s="13" t="s">
        <v>262</v>
      </c>
      <c r="E969" s="6">
        <v>4</v>
      </c>
      <c r="F969" s="24" t="s">
        <v>43</v>
      </c>
      <c r="G969" s="24" t="s">
        <v>43</v>
      </c>
      <c r="H969" s="24" t="s">
        <v>43</v>
      </c>
      <c r="I969" s="24" t="s">
        <v>43</v>
      </c>
    </row>
    <row r="970" spans="1:9" ht="91.8">
      <c r="A970" s="21">
        <v>6</v>
      </c>
      <c r="B970" s="21"/>
      <c r="C970" s="7" t="s">
        <v>261</v>
      </c>
      <c r="D970" s="13" t="s">
        <v>262</v>
      </c>
      <c r="E970" s="6">
        <v>4</v>
      </c>
      <c r="F970" s="24" t="s">
        <v>43</v>
      </c>
      <c r="G970" s="24" t="s">
        <v>43</v>
      </c>
      <c r="H970" s="24" t="s">
        <v>43</v>
      </c>
      <c r="I970" s="24" t="s">
        <v>43</v>
      </c>
    </row>
    <row r="971" spans="1:9" ht="91.8">
      <c r="A971" s="21">
        <v>6</v>
      </c>
      <c r="B971" s="21"/>
      <c r="C971" s="7" t="s">
        <v>261</v>
      </c>
      <c r="D971" s="13" t="s">
        <v>262</v>
      </c>
      <c r="E971" s="6">
        <v>4</v>
      </c>
      <c r="F971" s="24" t="s">
        <v>43</v>
      </c>
      <c r="G971" s="24" t="s">
        <v>43</v>
      </c>
      <c r="H971" s="24" t="s">
        <v>43</v>
      </c>
      <c r="I971" s="24" t="s">
        <v>43</v>
      </c>
    </row>
    <row r="972" spans="1:9" ht="91.8">
      <c r="A972" s="21">
        <v>6</v>
      </c>
      <c r="B972" s="21"/>
      <c r="C972" s="7" t="s">
        <v>261</v>
      </c>
      <c r="D972" s="13" t="s">
        <v>262</v>
      </c>
      <c r="E972" s="6">
        <v>4</v>
      </c>
      <c r="F972" s="24" t="s">
        <v>43</v>
      </c>
      <c r="G972" s="24" t="s">
        <v>43</v>
      </c>
      <c r="H972" s="24" t="s">
        <v>43</v>
      </c>
      <c r="I972" s="24" t="s">
        <v>43</v>
      </c>
    </row>
    <row r="973" spans="1:9" ht="91.8">
      <c r="A973" s="21">
        <v>6</v>
      </c>
      <c r="B973" s="21"/>
      <c r="C973" s="7" t="s">
        <v>261</v>
      </c>
      <c r="D973" s="13" t="s">
        <v>262</v>
      </c>
      <c r="E973" s="6">
        <v>4</v>
      </c>
      <c r="F973" s="24" t="s">
        <v>43</v>
      </c>
      <c r="G973" s="24" t="s">
        <v>43</v>
      </c>
      <c r="H973" s="24" t="s">
        <v>43</v>
      </c>
      <c r="I973" s="24" t="s">
        <v>43</v>
      </c>
    </row>
    <row r="974" spans="1:9" ht="91.8">
      <c r="A974" s="21">
        <v>6</v>
      </c>
      <c r="B974" s="21"/>
      <c r="C974" s="7" t="s">
        <v>261</v>
      </c>
      <c r="D974" s="13" t="s">
        <v>262</v>
      </c>
      <c r="E974" s="6">
        <v>4</v>
      </c>
      <c r="F974" s="24" t="s">
        <v>43</v>
      </c>
      <c r="G974" s="24" t="s">
        <v>43</v>
      </c>
      <c r="H974" s="24" t="s">
        <v>43</v>
      </c>
      <c r="I974" s="24" t="s">
        <v>43</v>
      </c>
    </row>
    <row r="975" spans="1:9" ht="91.8">
      <c r="A975" s="21">
        <v>6</v>
      </c>
      <c r="B975" s="21"/>
      <c r="C975" s="7" t="s">
        <v>261</v>
      </c>
      <c r="D975" s="13" t="s">
        <v>262</v>
      </c>
      <c r="E975" s="6">
        <v>4</v>
      </c>
      <c r="F975" s="24" t="s">
        <v>43</v>
      </c>
      <c r="G975" s="24" t="s">
        <v>43</v>
      </c>
      <c r="H975" s="24" t="s">
        <v>43</v>
      </c>
      <c r="I975" s="24" t="s">
        <v>43</v>
      </c>
    </row>
    <row r="976" spans="1:9" ht="91.8">
      <c r="A976" s="21">
        <v>6</v>
      </c>
      <c r="B976" s="21"/>
      <c r="C976" s="7" t="s">
        <v>261</v>
      </c>
      <c r="D976" s="13" t="s">
        <v>262</v>
      </c>
      <c r="E976" s="6">
        <v>4</v>
      </c>
      <c r="F976" s="24" t="s">
        <v>43</v>
      </c>
      <c r="G976" s="24" t="s">
        <v>43</v>
      </c>
      <c r="H976" s="24" t="s">
        <v>43</v>
      </c>
      <c r="I976" s="24" t="s">
        <v>43</v>
      </c>
    </row>
    <row r="977" spans="1:9" ht="91.8">
      <c r="A977" s="21">
        <v>6</v>
      </c>
      <c r="B977" s="21"/>
      <c r="C977" s="7" t="s">
        <v>261</v>
      </c>
      <c r="D977" s="13" t="s">
        <v>262</v>
      </c>
      <c r="E977" s="6">
        <v>4</v>
      </c>
      <c r="F977" s="24" t="s">
        <v>43</v>
      </c>
      <c r="G977" s="24" t="s">
        <v>43</v>
      </c>
      <c r="H977" s="24" t="s">
        <v>43</v>
      </c>
      <c r="I977" s="24" t="s">
        <v>43</v>
      </c>
    </row>
    <row r="978" spans="1:9" ht="91.8">
      <c r="A978" s="21">
        <v>6</v>
      </c>
      <c r="B978" s="21"/>
      <c r="C978" s="7" t="s">
        <v>261</v>
      </c>
      <c r="D978" s="13" t="s">
        <v>262</v>
      </c>
      <c r="E978" s="6">
        <v>4</v>
      </c>
      <c r="F978" s="24" t="s">
        <v>43</v>
      </c>
      <c r="G978" s="24" t="s">
        <v>43</v>
      </c>
      <c r="H978" s="24" t="s">
        <v>43</v>
      </c>
      <c r="I978" s="24" t="s">
        <v>43</v>
      </c>
    </row>
    <row r="979" spans="1:9" ht="91.8">
      <c r="A979" s="21">
        <v>6</v>
      </c>
      <c r="B979" s="21"/>
      <c r="C979" s="7" t="s">
        <v>261</v>
      </c>
      <c r="D979" s="13" t="s">
        <v>262</v>
      </c>
      <c r="E979" s="6">
        <v>4</v>
      </c>
      <c r="F979" s="24" t="s">
        <v>43</v>
      </c>
      <c r="G979" s="24" t="s">
        <v>43</v>
      </c>
      <c r="H979" s="24" t="s">
        <v>43</v>
      </c>
      <c r="I979" s="24" t="s">
        <v>43</v>
      </c>
    </row>
    <row r="980" spans="1:9" ht="91.8">
      <c r="A980" s="21">
        <v>6</v>
      </c>
      <c r="B980" s="21"/>
      <c r="C980" s="7" t="s">
        <v>261</v>
      </c>
      <c r="D980" s="13" t="s">
        <v>262</v>
      </c>
      <c r="E980" s="6">
        <v>4</v>
      </c>
      <c r="F980" s="24" t="s">
        <v>43</v>
      </c>
      <c r="G980" s="24" t="s">
        <v>43</v>
      </c>
      <c r="H980" s="24" t="s">
        <v>43</v>
      </c>
      <c r="I980" s="24" t="s">
        <v>43</v>
      </c>
    </row>
    <row r="981" spans="1:9" ht="91.8">
      <c r="A981" s="21">
        <v>6</v>
      </c>
      <c r="B981" s="21"/>
      <c r="C981" s="7" t="s">
        <v>261</v>
      </c>
      <c r="D981" s="13" t="s">
        <v>262</v>
      </c>
      <c r="E981" s="6">
        <v>4</v>
      </c>
      <c r="F981" s="24" t="s">
        <v>43</v>
      </c>
      <c r="G981" s="24" t="s">
        <v>43</v>
      </c>
      <c r="H981" s="24" t="s">
        <v>43</v>
      </c>
      <c r="I981" s="24" t="s">
        <v>43</v>
      </c>
    </row>
    <row r="982" spans="1:9" ht="91.8">
      <c r="A982" s="21">
        <v>6</v>
      </c>
      <c r="B982" s="21"/>
      <c r="C982" s="7" t="s">
        <v>261</v>
      </c>
      <c r="D982" s="13" t="s">
        <v>262</v>
      </c>
      <c r="E982" s="6">
        <v>4</v>
      </c>
      <c r="F982" s="24" t="s">
        <v>43</v>
      </c>
      <c r="G982" s="24" t="s">
        <v>43</v>
      </c>
      <c r="H982" s="24" t="s">
        <v>43</v>
      </c>
      <c r="I982" s="24" t="s">
        <v>43</v>
      </c>
    </row>
    <row r="983" spans="1:9" ht="91.8">
      <c r="A983" s="21">
        <v>6</v>
      </c>
      <c r="B983" s="21"/>
      <c r="C983" s="7" t="s">
        <v>261</v>
      </c>
      <c r="D983" s="13" t="s">
        <v>262</v>
      </c>
      <c r="E983" s="6">
        <v>4</v>
      </c>
      <c r="F983" s="24" t="s">
        <v>43</v>
      </c>
      <c r="G983" s="24" t="s">
        <v>43</v>
      </c>
      <c r="H983" s="24" t="s">
        <v>43</v>
      </c>
      <c r="I983" s="24" t="s">
        <v>43</v>
      </c>
    </row>
    <row r="984" spans="1:9" ht="91.8">
      <c r="A984" s="21">
        <v>6</v>
      </c>
      <c r="B984" s="21"/>
      <c r="C984" s="7" t="s">
        <v>261</v>
      </c>
      <c r="D984" s="13" t="s">
        <v>262</v>
      </c>
      <c r="E984" s="6">
        <v>4</v>
      </c>
      <c r="F984" s="24" t="s">
        <v>43</v>
      </c>
      <c r="G984" s="24" t="s">
        <v>43</v>
      </c>
      <c r="H984" s="24" t="s">
        <v>43</v>
      </c>
      <c r="I984" s="24" t="s">
        <v>43</v>
      </c>
    </row>
    <row r="985" spans="1:9" ht="91.8">
      <c r="A985" s="21">
        <v>6</v>
      </c>
      <c r="B985" s="21"/>
      <c r="C985" s="7" t="s">
        <v>261</v>
      </c>
      <c r="D985" s="13" t="s">
        <v>262</v>
      </c>
      <c r="E985" s="6">
        <v>4</v>
      </c>
      <c r="F985" s="24" t="s">
        <v>43</v>
      </c>
      <c r="G985" s="24" t="s">
        <v>43</v>
      </c>
      <c r="H985" s="24" t="s">
        <v>43</v>
      </c>
      <c r="I985" s="24" t="s">
        <v>43</v>
      </c>
    </row>
    <row r="986" spans="1:9" ht="91.8">
      <c r="A986" s="21">
        <v>6</v>
      </c>
      <c r="B986" s="21"/>
      <c r="C986" s="7" t="s">
        <v>261</v>
      </c>
      <c r="D986" s="13" t="s">
        <v>262</v>
      </c>
      <c r="E986" s="6">
        <v>4</v>
      </c>
      <c r="F986" s="24" t="s">
        <v>43</v>
      </c>
      <c r="G986" s="24" t="s">
        <v>43</v>
      </c>
      <c r="H986" s="24" t="s">
        <v>43</v>
      </c>
      <c r="I986" s="24" t="s">
        <v>43</v>
      </c>
    </row>
    <row r="987" spans="1:9" ht="91.8">
      <c r="A987" s="21">
        <v>6</v>
      </c>
      <c r="B987" s="21"/>
      <c r="C987" s="7" t="s">
        <v>261</v>
      </c>
      <c r="D987" s="13" t="s">
        <v>262</v>
      </c>
      <c r="E987" s="6">
        <v>4</v>
      </c>
      <c r="F987" s="24" t="s">
        <v>43</v>
      </c>
      <c r="G987" s="24" t="s">
        <v>43</v>
      </c>
      <c r="H987" s="24" t="s">
        <v>43</v>
      </c>
      <c r="I987" s="24" t="s">
        <v>43</v>
      </c>
    </row>
    <row r="988" spans="1:9" ht="91.8">
      <c r="A988" s="21">
        <v>6</v>
      </c>
      <c r="B988" s="21"/>
      <c r="C988" s="7" t="s">
        <v>261</v>
      </c>
      <c r="D988" s="13" t="s">
        <v>262</v>
      </c>
      <c r="E988" s="6">
        <v>4</v>
      </c>
      <c r="F988" s="24" t="s">
        <v>43</v>
      </c>
      <c r="G988" s="24" t="s">
        <v>43</v>
      </c>
      <c r="H988" s="24" t="s">
        <v>43</v>
      </c>
      <c r="I988" s="24" t="s">
        <v>43</v>
      </c>
    </row>
    <row r="989" spans="1:9" ht="91.8">
      <c r="A989" s="21">
        <v>6</v>
      </c>
      <c r="B989" s="21"/>
      <c r="C989" s="7" t="s">
        <v>261</v>
      </c>
      <c r="D989" s="13" t="s">
        <v>262</v>
      </c>
      <c r="E989" s="6">
        <v>4</v>
      </c>
      <c r="F989" s="24" t="s">
        <v>43</v>
      </c>
      <c r="G989" s="24" t="s">
        <v>43</v>
      </c>
      <c r="H989" s="24" t="s">
        <v>43</v>
      </c>
      <c r="I989" s="24" t="s">
        <v>43</v>
      </c>
    </row>
    <row r="990" spans="1:9" ht="91.8">
      <c r="A990" s="21">
        <v>6</v>
      </c>
      <c r="B990" s="21"/>
      <c r="C990" s="7" t="s">
        <v>261</v>
      </c>
      <c r="D990" s="13" t="s">
        <v>262</v>
      </c>
      <c r="E990" s="6">
        <v>4</v>
      </c>
      <c r="F990" s="24" t="s">
        <v>43</v>
      </c>
      <c r="G990" s="24" t="s">
        <v>43</v>
      </c>
      <c r="H990" s="24" t="s">
        <v>43</v>
      </c>
      <c r="I990" s="24" t="s">
        <v>43</v>
      </c>
    </row>
    <row r="991" spans="1:9" ht="91.8">
      <c r="A991" s="21">
        <v>6</v>
      </c>
      <c r="B991" s="21"/>
      <c r="C991" s="7" t="s">
        <v>261</v>
      </c>
      <c r="D991" s="13" t="s">
        <v>262</v>
      </c>
      <c r="E991" s="6">
        <v>4</v>
      </c>
      <c r="F991" s="24" t="s">
        <v>43</v>
      </c>
      <c r="G991" s="24" t="s">
        <v>43</v>
      </c>
      <c r="H991" s="24" t="s">
        <v>43</v>
      </c>
      <c r="I991" s="24" t="s">
        <v>43</v>
      </c>
    </row>
    <row r="992" spans="1:9" ht="91.8">
      <c r="A992" s="21">
        <v>6</v>
      </c>
      <c r="B992" s="21"/>
      <c r="C992" s="7" t="s">
        <v>261</v>
      </c>
      <c r="D992" s="13" t="s">
        <v>262</v>
      </c>
      <c r="E992" s="6">
        <v>4</v>
      </c>
      <c r="F992" s="24" t="s">
        <v>43</v>
      </c>
      <c r="G992" s="24" t="s">
        <v>43</v>
      </c>
      <c r="H992" s="24" t="s">
        <v>43</v>
      </c>
      <c r="I992" s="24" t="s">
        <v>43</v>
      </c>
    </row>
    <row r="993" spans="1:9" ht="91.8">
      <c r="A993" s="21">
        <v>6</v>
      </c>
      <c r="B993" s="21"/>
      <c r="C993" s="7" t="s">
        <v>261</v>
      </c>
      <c r="D993" s="13" t="s">
        <v>262</v>
      </c>
      <c r="E993" s="6">
        <v>4</v>
      </c>
      <c r="F993" s="24" t="s">
        <v>43</v>
      </c>
      <c r="G993" s="24" t="s">
        <v>43</v>
      </c>
      <c r="H993" s="24" t="s">
        <v>43</v>
      </c>
      <c r="I993" s="24" t="s">
        <v>43</v>
      </c>
    </row>
    <row r="994" spans="1:9" ht="91.8">
      <c r="A994" s="21">
        <v>6</v>
      </c>
      <c r="B994" s="21"/>
      <c r="C994" s="7" t="s">
        <v>261</v>
      </c>
      <c r="D994" s="13" t="s">
        <v>262</v>
      </c>
      <c r="E994" s="6">
        <v>4</v>
      </c>
      <c r="F994" s="24" t="s">
        <v>43</v>
      </c>
      <c r="G994" s="24" t="s">
        <v>43</v>
      </c>
      <c r="H994" s="24" t="s">
        <v>43</v>
      </c>
      <c r="I994" s="24" t="s">
        <v>43</v>
      </c>
    </row>
    <row r="995" spans="1:9" ht="91.8">
      <c r="A995" s="21">
        <v>6</v>
      </c>
      <c r="B995" s="21"/>
      <c r="C995" s="7" t="s">
        <v>261</v>
      </c>
      <c r="D995" s="13" t="s">
        <v>262</v>
      </c>
      <c r="E995" s="6">
        <v>4</v>
      </c>
      <c r="F995" s="24" t="s">
        <v>43</v>
      </c>
      <c r="G995" s="24" t="s">
        <v>43</v>
      </c>
      <c r="H995" s="24" t="s">
        <v>43</v>
      </c>
      <c r="I995" s="24" t="s">
        <v>43</v>
      </c>
    </row>
    <row r="996" spans="1:9" ht="91.8">
      <c r="A996" s="21">
        <v>6</v>
      </c>
      <c r="B996" s="21"/>
      <c r="C996" s="7" t="s">
        <v>261</v>
      </c>
      <c r="D996" s="13" t="s">
        <v>262</v>
      </c>
      <c r="E996" s="6">
        <v>4</v>
      </c>
      <c r="F996" s="24" t="s">
        <v>43</v>
      </c>
      <c r="G996" s="24" t="s">
        <v>43</v>
      </c>
      <c r="H996" s="24" t="s">
        <v>43</v>
      </c>
      <c r="I996" s="24" t="s">
        <v>43</v>
      </c>
    </row>
    <row r="997" spans="1:9" ht="91.8">
      <c r="A997" s="21">
        <v>6</v>
      </c>
      <c r="B997" s="21"/>
      <c r="C997" s="7" t="s">
        <v>261</v>
      </c>
      <c r="D997" s="13" t="s">
        <v>262</v>
      </c>
      <c r="E997" s="6">
        <v>4</v>
      </c>
      <c r="F997" s="24" t="s">
        <v>43</v>
      </c>
      <c r="G997" s="24" t="s">
        <v>43</v>
      </c>
      <c r="H997" s="24" t="s">
        <v>43</v>
      </c>
      <c r="I997" s="24" t="s">
        <v>43</v>
      </c>
    </row>
    <row r="998" spans="1:9" ht="91.8">
      <c r="A998" s="21">
        <v>6</v>
      </c>
      <c r="B998" s="21"/>
      <c r="C998" s="7" t="s">
        <v>261</v>
      </c>
      <c r="D998" s="13" t="s">
        <v>262</v>
      </c>
      <c r="E998" s="6">
        <v>4</v>
      </c>
      <c r="F998" s="24" t="s">
        <v>43</v>
      </c>
      <c r="G998" s="24" t="s">
        <v>43</v>
      </c>
      <c r="H998" s="24" t="s">
        <v>43</v>
      </c>
      <c r="I998" s="24" t="s">
        <v>43</v>
      </c>
    </row>
    <row r="999" spans="1:9" ht="91.8">
      <c r="A999" s="21">
        <v>6</v>
      </c>
      <c r="B999" s="21"/>
      <c r="C999" s="7" t="s">
        <v>261</v>
      </c>
      <c r="D999" s="13" t="s">
        <v>262</v>
      </c>
      <c r="E999" s="6">
        <v>4</v>
      </c>
      <c r="F999" s="24" t="s">
        <v>43</v>
      </c>
      <c r="G999" s="24" t="s">
        <v>43</v>
      </c>
      <c r="H999" s="24" t="s">
        <v>43</v>
      </c>
      <c r="I999" s="24" t="s">
        <v>43</v>
      </c>
    </row>
    <row r="1000" spans="1:9" ht="91.8">
      <c r="A1000" s="21">
        <v>6</v>
      </c>
      <c r="B1000" s="21"/>
      <c r="C1000" s="7" t="s">
        <v>261</v>
      </c>
      <c r="D1000" s="13" t="s">
        <v>262</v>
      </c>
      <c r="E1000" s="6">
        <v>4</v>
      </c>
      <c r="F1000" s="24" t="s">
        <v>43</v>
      </c>
      <c r="G1000" s="24" t="s">
        <v>43</v>
      </c>
      <c r="H1000" s="24" t="s">
        <v>43</v>
      </c>
      <c r="I1000" s="24" t="s">
        <v>43</v>
      </c>
    </row>
    <row r="1001" spans="1:9" ht="91.8">
      <c r="A1001" s="21">
        <v>6</v>
      </c>
      <c r="B1001" s="21"/>
      <c r="C1001" s="7" t="s">
        <v>261</v>
      </c>
      <c r="D1001" s="13" t="s">
        <v>262</v>
      </c>
      <c r="E1001" s="6">
        <v>4</v>
      </c>
      <c r="F1001" s="24" t="s">
        <v>43</v>
      </c>
      <c r="G1001" s="24" t="s">
        <v>43</v>
      </c>
      <c r="H1001" s="24" t="s">
        <v>43</v>
      </c>
      <c r="I1001" s="24" t="s">
        <v>43</v>
      </c>
    </row>
    <row r="1002" spans="1:9" ht="91.8">
      <c r="A1002" s="21">
        <v>6</v>
      </c>
      <c r="B1002" s="21"/>
      <c r="C1002" s="7" t="s">
        <v>261</v>
      </c>
      <c r="D1002" s="13" t="s">
        <v>262</v>
      </c>
      <c r="E1002" s="6">
        <v>4</v>
      </c>
      <c r="F1002" s="24" t="s">
        <v>43</v>
      </c>
      <c r="G1002" s="24" t="s">
        <v>43</v>
      </c>
      <c r="H1002" s="24" t="s">
        <v>43</v>
      </c>
      <c r="I1002" s="24" t="s">
        <v>43</v>
      </c>
    </row>
    <row r="1003" spans="1:9" ht="91.8">
      <c r="A1003" s="21">
        <v>6</v>
      </c>
      <c r="B1003" s="21"/>
      <c r="C1003" s="7" t="s">
        <v>261</v>
      </c>
      <c r="D1003" s="13" t="s">
        <v>262</v>
      </c>
      <c r="E1003" s="6">
        <v>4</v>
      </c>
      <c r="F1003" s="24" t="s">
        <v>43</v>
      </c>
      <c r="G1003" s="24" t="s">
        <v>43</v>
      </c>
      <c r="H1003" s="24" t="s">
        <v>43</v>
      </c>
      <c r="I1003" s="24" t="s">
        <v>43</v>
      </c>
    </row>
    <row r="1004" spans="1:9" ht="91.8">
      <c r="A1004" s="21">
        <v>6</v>
      </c>
      <c r="B1004" s="21"/>
      <c r="C1004" s="7" t="s">
        <v>261</v>
      </c>
      <c r="D1004" s="13" t="s">
        <v>262</v>
      </c>
      <c r="E1004" s="6">
        <v>4</v>
      </c>
      <c r="F1004" s="24" t="s">
        <v>43</v>
      </c>
      <c r="G1004" s="24" t="s">
        <v>43</v>
      </c>
      <c r="H1004" s="24" t="s">
        <v>43</v>
      </c>
      <c r="I1004" s="24" t="s">
        <v>43</v>
      </c>
    </row>
    <row r="1005" spans="1:9" ht="91.8">
      <c r="A1005" s="21">
        <v>6</v>
      </c>
      <c r="B1005" s="21"/>
      <c r="C1005" s="7" t="s">
        <v>261</v>
      </c>
      <c r="D1005" s="13" t="s">
        <v>262</v>
      </c>
      <c r="E1005" s="6">
        <v>4</v>
      </c>
      <c r="F1005" s="24" t="s">
        <v>43</v>
      </c>
      <c r="G1005" s="24" t="s">
        <v>43</v>
      </c>
      <c r="H1005" s="24" t="s">
        <v>43</v>
      </c>
      <c r="I1005" s="24" t="s">
        <v>43</v>
      </c>
    </row>
    <row r="1006" spans="1:9" ht="91.8">
      <c r="A1006" s="21">
        <v>6</v>
      </c>
      <c r="B1006" s="21"/>
      <c r="C1006" s="7" t="s">
        <v>261</v>
      </c>
      <c r="D1006" s="13" t="s">
        <v>262</v>
      </c>
      <c r="E1006" s="6">
        <v>4</v>
      </c>
      <c r="F1006" s="24" t="s">
        <v>43</v>
      </c>
      <c r="G1006" s="24" t="s">
        <v>43</v>
      </c>
      <c r="H1006" s="24" t="s">
        <v>43</v>
      </c>
      <c r="I1006" s="24" t="s">
        <v>43</v>
      </c>
    </row>
    <row r="1007" spans="1:9" ht="91.8">
      <c r="A1007" s="21">
        <v>6</v>
      </c>
      <c r="B1007" s="21"/>
      <c r="C1007" s="7" t="s">
        <v>261</v>
      </c>
      <c r="D1007" s="13" t="s">
        <v>262</v>
      </c>
      <c r="E1007" s="6">
        <v>4</v>
      </c>
      <c r="F1007" s="24" t="s">
        <v>43</v>
      </c>
      <c r="G1007" s="24" t="s">
        <v>43</v>
      </c>
      <c r="H1007" s="24" t="s">
        <v>43</v>
      </c>
      <c r="I1007" s="24" t="s">
        <v>43</v>
      </c>
    </row>
    <row r="1008" spans="1:9" ht="91.8">
      <c r="A1008" s="21">
        <v>6</v>
      </c>
      <c r="B1008" s="21"/>
      <c r="C1008" s="7" t="s">
        <v>261</v>
      </c>
      <c r="D1008" s="13" t="s">
        <v>262</v>
      </c>
      <c r="E1008" s="6">
        <v>4</v>
      </c>
      <c r="F1008" s="24" t="s">
        <v>43</v>
      </c>
      <c r="G1008" s="24" t="s">
        <v>43</v>
      </c>
      <c r="H1008" s="24" t="s">
        <v>43</v>
      </c>
      <c r="I1008" s="24" t="s">
        <v>43</v>
      </c>
    </row>
    <row r="1009" spans="1:9" ht="91.8">
      <c r="A1009" s="21">
        <v>6</v>
      </c>
      <c r="B1009" s="21"/>
      <c r="C1009" s="7" t="s">
        <v>261</v>
      </c>
      <c r="D1009" s="13" t="s">
        <v>262</v>
      </c>
      <c r="E1009" s="6">
        <v>4</v>
      </c>
      <c r="F1009" s="24" t="s">
        <v>43</v>
      </c>
      <c r="G1009" s="24" t="s">
        <v>43</v>
      </c>
      <c r="H1009" s="24" t="s">
        <v>43</v>
      </c>
      <c r="I1009" s="24" t="s">
        <v>43</v>
      </c>
    </row>
    <row r="1010" spans="1:9" ht="91.8">
      <c r="A1010" s="21">
        <v>6</v>
      </c>
      <c r="B1010" s="21"/>
      <c r="C1010" s="7" t="s">
        <v>261</v>
      </c>
      <c r="D1010" s="13" t="s">
        <v>262</v>
      </c>
      <c r="E1010" s="6">
        <v>4</v>
      </c>
      <c r="F1010" s="24" t="s">
        <v>43</v>
      </c>
      <c r="G1010" s="24" t="s">
        <v>43</v>
      </c>
      <c r="H1010" s="24" t="s">
        <v>43</v>
      </c>
      <c r="I1010" s="24" t="s">
        <v>43</v>
      </c>
    </row>
    <row r="1011" spans="1:9" ht="91.8">
      <c r="A1011" s="21">
        <v>6</v>
      </c>
      <c r="B1011" s="21"/>
      <c r="C1011" s="7" t="s">
        <v>261</v>
      </c>
      <c r="D1011" s="13" t="s">
        <v>262</v>
      </c>
      <c r="E1011" s="6">
        <v>4</v>
      </c>
      <c r="F1011" s="24" t="s">
        <v>43</v>
      </c>
      <c r="G1011" s="24" t="s">
        <v>43</v>
      </c>
      <c r="H1011" s="24" t="s">
        <v>43</v>
      </c>
      <c r="I1011" s="24" t="s">
        <v>43</v>
      </c>
    </row>
    <row r="1012" spans="1:9" ht="91.8">
      <c r="A1012" s="21">
        <v>6</v>
      </c>
      <c r="B1012" s="21"/>
      <c r="C1012" s="7" t="s">
        <v>261</v>
      </c>
      <c r="D1012" s="13" t="s">
        <v>262</v>
      </c>
      <c r="E1012" s="6">
        <v>4</v>
      </c>
      <c r="F1012" s="24" t="s">
        <v>43</v>
      </c>
      <c r="G1012" s="24" t="s">
        <v>43</v>
      </c>
      <c r="H1012" s="24" t="s">
        <v>43</v>
      </c>
      <c r="I1012" s="24" t="s">
        <v>43</v>
      </c>
    </row>
    <row r="1013" spans="1:9" ht="91.8">
      <c r="A1013" s="21">
        <v>6</v>
      </c>
      <c r="B1013" s="21"/>
      <c r="C1013" s="7" t="s">
        <v>261</v>
      </c>
      <c r="D1013" s="13" t="s">
        <v>262</v>
      </c>
      <c r="E1013" s="6">
        <v>4</v>
      </c>
      <c r="F1013" s="24" t="s">
        <v>43</v>
      </c>
      <c r="G1013" s="24" t="s">
        <v>43</v>
      </c>
      <c r="H1013" s="24" t="s">
        <v>43</v>
      </c>
      <c r="I1013" s="24" t="s">
        <v>43</v>
      </c>
    </row>
    <row r="1014" spans="1:9" ht="91.8">
      <c r="A1014" s="21">
        <v>6</v>
      </c>
      <c r="B1014" s="21"/>
      <c r="C1014" s="7" t="s">
        <v>261</v>
      </c>
      <c r="D1014" s="13" t="s">
        <v>262</v>
      </c>
      <c r="E1014" s="6">
        <v>4</v>
      </c>
      <c r="F1014" s="24" t="s">
        <v>43</v>
      </c>
      <c r="G1014" s="24" t="s">
        <v>43</v>
      </c>
      <c r="H1014" s="24" t="s">
        <v>43</v>
      </c>
      <c r="I1014" s="24" t="s">
        <v>43</v>
      </c>
    </row>
    <row r="1015" spans="1:9" ht="91.8">
      <c r="A1015" s="21">
        <v>6</v>
      </c>
      <c r="B1015" s="21"/>
      <c r="C1015" s="7" t="s">
        <v>261</v>
      </c>
      <c r="D1015" s="13" t="s">
        <v>262</v>
      </c>
      <c r="E1015" s="6">
        <v>4</v>
      </c>
      <c r="F1015" s="24" t="s">
        <v>43</v>
      </c>
      <c r="G1015" s="24" t="s">
        <v>43</v>
      </c>
      <c r="H1015" s="24" t="s">
        <v>43</v>
      </c>
      <c r="I1015" s="24" t="s">
        <v>43</v>
      </c>
    </row>
    <row r="1016" spans="1:9" ht="91.8">
      <c r="A1016" s="21">
        <v>6</v>
      </c>
      <c r="B1016" s="21"/>
      <c r="C1016" s="7" t="s">
        <v>261</v>
      </c>
      <c r="D1016" s="13" t="s">
        <v>262</v>
      </c>
      <c r="E1016" s="6">
        <v>4</v>
      </c>
      <c r="F1016" s="24" t="s">
        <v>43</v>
      </c>
      <c r="G1016" s="24" t="s">
        <v>43</v>
      </c>
      <c r="H1016" s="24" t="s">
        <v>43</v>
      </c>
      <c r="I1016" s="24" t="s">
        <v>43</v>
      </c>
    </row>
    <row r="1017" spans="1:9" ht="91.8">
      <c r="A1017" s="21">
        <v>6</v>
      </c>
      <c r="B1017" s="21"/>
      <c r="C1017" s="7" t="s">
        <v>261</v>
      </c>
      <c r="D1017" s="13" t="s">
        <v>262</v>
      </c>
      <c r="E1017" s="6">
        <v>4</v>
      </c>
      <c r="F1017" s="24" t="s">
        <v>43</v>
      </c>
      <c r="G1017" s="24" t="s">
        <v>43</v>
      </c>
      <c r="H1017" s="24" t="s">
        <v>43</v>
      </c>
      <c r="I1017" s="24" t="s">
        <v>43</v>
      </c>
    </row>
    <row r="1018" spans="1:9" ht="91.8">
      <c r="A1018" s="21">
        <v>6</v>
      </c>
      <c r="B1018" s="21"/>
      <c r="C1018" s="7" t="s">
        <v>261</v>
      </c>
      <c r="D1018" s="13" t="s">
        <v>262</v>
      </c>
      <c r="E1018" s="6">
        <v>4</v>
      </c>
      <c r="F1018" s="24" t="s">
        <v>43</v>
      </c>
      <c r="G1018" s="24" t="s">
        <v>43</v>
      </c>
      <c r="H1018" s="24" t="s">
        <v>43</v>
      </c>
      <c r="I1018" s="24" t="s">
        <v>43</v>
      </c>
    </row>
    <row r="1019" spans="1:9" ht="91.8">
      <c r="A1019" s="21">
        <v>6</v>
      </c>
      <c r="B1019" s="21"/>
      <c r="C1019" s="7" t="s">
        <v>261</v>
      </c>
      <c r="D1019" s="13" t="s">
        <v>262</v>
      </c>
      <c r="E1019" s="6">
        <v>4</v>
      </c>
      <c r="F1019" s="24" t="s">
        <v>43</v>
      </c>
      <c r="G1019" s="24" t="s">
        <v>43</v>
      </c>
      <c r="H1019" s="24" t="s">
        <v>43</v>
      </c>
      <c r="I1019" s="24" t="s">
        <v>43</v>
      </c>
    </row>
    <row r="1020" spans="1:9" ht="91.8">
      <c r="A1020" s="21">
        <v>6</v>
      </c>
      <c r="B1020" s="21"/>
      <c r="C1020" s="7" t="s">
        <v>261</v>
      </c>
      <c r="D1020" s="13" t="s">
        <v>262</v>
      </c>
      <c r="E1020" s="6">
        <v>4</v>
      </c>
      <c r="F1020" s="24" t="s">
        <v>43</v>
      </c>
      <c r="G1020" s="24" t="s">
        <v>43</v>
      </c>
      <c r="H1020" s="24" t="s">
        <v>43</v>
      </c>
      <c r="I1020" s="24" t="s">
        <v>43</v>
      </c>
    </row>
    <row r="1021" spans="1:9" ht="91.8">
      <c r="A1021" s="21">
        <v>6</v>
      </c>
      <c r="B1021" s="21"/>
      <c r="C1021" s="7" t="s">
        <v>261</v>
      </c>
      <c r="D1021" s="13" t="s">
        <v>262</v>
      </c>
      <c r="E1021" s="6">
        <v>4</v>
      </c>
      <c r="F1021" s="24" t="s">
        <v>43</v>
      </c>
      <c r="G1021" s="24" t="s">
        <v>43</v>
      </c>
      <c r="H1021" s="24" t="s">
        <v>43</v>
      </c>
      <c r="I1021" s="24" t="s">
        <v>43</v>
      </c>
    </row>
    <row r="1022" spans="1:9" ht="91.8">
      <c r="A1022" s="21">
        <v>6</v>
      </c>
      <c r="B1022" s="21"/>
      <c r="C1022" s="7" t="s">
        <v>261</v>
      </c>
      <c r="D1022" s="13" t="s">
        <v>262</v>
      </c>
      <c r="E1022" s="6">
        <v>4</v>
      </c>
      <c r="F1022" s="24" t="s">
        <v>43</v>
      </c>
      <c r="G1022" s="24" t="s">
        <v>43</v>
      </c>
      <c r="H1022" s="24" t="s">
        <v>43</v>
      </c>
      <c r="I1022" s="24" t="s">
        <v>43</v>
      </c>
    </row>
    <row r="1023" spans="1:9" ht="91.8">
      <c r="A1023" s="21">
        <v>6</v>
      </c>
      <c r="B1023" s="21"/>
      <c r="C1023" s="7" t="s">
        <v>261</v>
      </c>
      <c r="D1023" s="13" t="s">
        <v>262</v>
      </c>
      <c r="E1023" s="6">
        <v>4</v>
      </c>
      <c r="F1023" s="24" t="s">
        <v>43</v>
      </c>
      <c r="G1023" s="24" t="s">
        <v>43</v>
      </c>
      <c r="H1023" s="24" t="s">
        <v>43</v>
      </c>
      <c r="I1023" s="24" t="s">
        <v>43</v>
      </c>
    </row>
    <row r="1024" spans="1:9" ht="91.8">
      <c r="A1024" s="21">
        <v>6</v>
      </c>
      <c r="B1024" s="21"/>
      <c r="C1024" s="7" t="s">
        <v>261</v>
      </c>
      <c r="D1024" s="13" t="s">
        <v>262</v>
      </c>
      <c r="E1024" s="6">
        <v>4</v>
      </c>
      <c r="F1024" s="24" t="s">
        <v>43</v>
      </c>
      <c r="G1024" s="24" t="s">
        <v>43</v>
      </c>
      <c r="H1024" s="24" t="s">
        <v>43</v>
      </c>
      <c r="I1024" s="24" t="s">
        <v>43</v>
      </c>
    </row>
    <row r="1025" spans="1:9" ht="91.8">
      <c r="A1025" s="21">
        <v>6</v>
      </c>
      <c r="B1025" s="21"/>
      <c r="C1025" s="7" t="s">
        <v>261</v>
      </c>
      <c r="D1025" s="13" t="s">
        <v>262</v>
      </c>
      <c r="E1025" s="6">
        <v>4</v>
      </c>
      <c r="F1025" s="24" t="s">
        <v>43</v>
      </c>
      <c r="G1025" s="24" t="s">
        <v>43</v>
      </c>
      <c r="H1025" s="24" t="s">
        <v>43</v>
      </c>
      <c r="I1025" s="24" t="s">
        <v>43</v>
      </c>
    </row>
    <row r="1026" spans="1:9" ht="91.8">
      <c r="A1026" s="21">
        <v>6</v>
      </c>
      <c r="B1026" s="21"/>
      <c r="C1026" s="7" t="s">
        <v>261</v>
      </c>
      <c r="D1026" s="13" t="s">
        <v>262</v>
      </c>
      <c r="E1026" s="6">
        <v>4</v>
      </c>
      <c r="F1026" s="24" t="s">
        <v>43</v>
      </c>
      <c r="G1026" s="24" t="s">
        <v>43</v>
      </c>
      <c r="H1026" s="24" t="s">
        <v>43</v>
      </c>
      <c r="I1026" s="24" t="s">
        <v>43</v>
      </c>
    </row>
    <row r="1027" spans="1:9" ht="91.8">
      <c r="A1027" s="21">
        <v>6</v>
      </c>
      <c r="B1027" s="21"/>
      <c r="C1027" s="7" t="s">
        <v>261</v>
      </c>
      <c r="D1027" s="13" t="s">
        <v>262</v>
      </c>
      <c r="E1027" s="6">
        <v>4</v>
      </c>
      <c r="F1027" s="24" t="s">
        <v>43</v>
      </c>
      <c r="G1027" s="24" t="s">
        <v>43</v>
      </c>
      <c r="H1027" s="24" t="s">
        <v>43</v>
      </c>
      <c r="I1027" s="24" t="s">
        <v>43</v>
      </c>
    </row>
    <row r="1028" spans="1:9" ht="91.8">
      <c r="A1028" s="21">
        <v>6</v>
      </c>
      <c r="B1028" s="21"/>
      <c r="C1028" s="7" t="s">
        <v>261</v>
      </c>
      <c r="D1028" s="13" t="s">
        <v>262</v>
      </c>
      <c r="E1028" s="6">
        <v>4</v>
      </c>
      <c r="F1028" s="24" t="s">
        <v>43</v>
      </c>
      <c r="G1028" s="24" t="s">
        <v>43</v>
      </c>
      <c r="H1028" s="24" t="s">
        <v>43</v>
      </c>
      <c r="I1028" s="24" t="s">
        <v>43</v>
      </c>
    </row>
    <row r="1029" spans="1:9" ht="91.8">
      <c r="A1029" s="21">
        <v>6</v>
      </c>
      <c r="B1029" s="21"/>
      <c r="C1029" s="7" t="s">
        <v>261</v>
      </c>
      <c r="D1029" s="13" t="s">
        <v>262</v>
      </c>
      <c r="E1029" s="6">
        <v>4</v>
      </c>
      <c r="F1029" s="24" t="s">
        <v>43</v>
      </c>
      <c r="G1029" s="24" t="s">
        <v>43</v>
      </c>
      <c r="H1029" s="24" t="s">
        <v>43</v>
      </c>
      <c r="I1029" s="24" t="s">
        <v>43</v>
      </c>
    </row>
    <row r="1030" spans="1:9" ht="91.8">
      <c r="A1030" s="21">
        <v>6</v>
      </c>
      <c r="B1030" s="21"/>
      <c r="C1030" s="7" t="s">
        <v>261</v>
      </c>
      <c r="D1030" s="13" t="s">
        <v>262</v>
      </c>
      <c r="E1030" s="6">
        <v>4</v>
      </c>
      <c r="F1030" s="24" t="s">
        <v>43</v>
      </c>
      <c r="G1030" s="24" t="s">
        <v>43</v>
      </c>
      <c r="H1030" s="24" t="s">
        <v>43</v>
      </c>
      <c r="I1030" s="24" t="s">
        <v>43</v>
      </c>
    </row>
    <row r="1031" spans="1:9" ht="40.799999999999997">
      <c r="A1031" s="21">
        <v>7</v>
      </c>
      <c r="B1031" s="21"/>
      <c r="C1031" s="12" t="s">
        <v>46</v>
      </c>
      <c r="D1031" s="10" t="s">
        <v>263</v>
      </c>
      <c r="E1031" s="6">
        <v>3</v>
      </c>
      <c r="F1031" s="24" t="s">
        <v>43</v>
      </c>
      <c r="G1031" s="24" t="s">
        <v>43</v>
      </c>
      <c r="H1031" s="24" t="s">
        <v>43</v>
      </c>
      <c r="I1031" s="24" t="s">
        <v>43</v>
      </c>
    </row>
    <row r="1032" spans="1:9" ht="40.799999999999997">
      <c r="A1032" s="21">
        <v>7</v>
      </c>
      <c r="B1032" s="21"/>
      <c r="C1032" s="12" t="s">
        <v>46</v>
      </c>
      <c r="D1032" s="10" t="s">
        <v>263</v>
      </c>
      <c r="E1032" s="6">
        <v>3</v>
      </c>
      <c r="F1032" s="24" t="s">
        <v>43</v>
      </c>
      <c r="G1032" s="24" t="s">
        <v>43</v>
      </c>
      <c r="H1032" s="24" t="s">
        <v>43</v>
      </c>
      <c r="I1032" s="24" t="s">
        <v>43</v>
      </c>
    </row>
    <row r="1033" spans="1:9" ht="40.799999999999997">
      <c r="A1033" s="21">
        <v>7</v>
      </c>
      <c r="B1033" s="21"/>
      <c r="C1033" s="12" t="s">
        <v>46</v>
      </c>
      <c r="D1033" s="10" t="s">
        <v>263</v>
      </c>
      <c r="E1033" s="6">
        <v>3</v>
      </c>
      <c r="F1033" s="24" t="s">
        <v>43</v>
      </c>
      <c r="G1033" s="24" t="s">
        <v>43</v>
      </c>
      <c r="H1033" s="24" t="s">
        <v>43</v>
      </c>
      <c r="I1033" s="24" t="s">
        <v>43</v>
      </c>
    </row>
    <row r="1034" spans="1:9" ht="40.799999999999997">
      <c r="A1034" s="21">
        <v>7</v>
      </c>
      <c r="B1034" s="21"/>
      <c r="C1034" s="12" t="s">
        <v>46</v>
      </c>
      <c r="D1034" s="10" t="s">
        <v>263</v>
      </c>
      <c r="E1034" s="6">
        <v>3</v>
      </c>
      <c r="F1034" s="24" t="s">
        <v>43</v>
      </c>
      <c r="G1034" s="24" t="s">
        <v>43</v>
      </c>
      <c r="H1034" s="24" t="s">
        <v>43</v>
      </c>
      <c r="I1034" s="24" t="s">
        <v>43</v>
      </c>
    </row>
    <row r="1035" spans="1:9" ht="40.799999999999997">
      <c r="A1035" s="21">
        <v>7</v>
      </c>
      <c r="B1035" s="21"/>
      <c r="C1035" s="12" t="s">
        <v>46</v>
      </c>
      <c r="D1035" s="10" t="s">
        <v>263</v>
      </c>
      <c r="E1035" s="6">
        <v>3</v>
      </c>
      <c r="F1035" s="24" t="s">
        <v>43</v>
      </c>
      <c r="G1035" s="24" t="s">
        <v>43</v>
      </c>
      <c r="H1035" s="24" t="s">
        <v>43</v>
      </c>
      <c r="I1035" s="24" t="s">
        <v>43</v>
      </c>
    </row>
    <row r="1036" spans="1:9" ht="40.799999999999997">
      <c r="A1036" s="21">
        <v>7</v>
      </c>
      <c r="B1036" s="21"/>
      <c r="C1036" s="12" t="s">
        <v>46</v>
      </c>
      <c r="D1036" s="10" t="s">
        <v>263</v>
      </c>
      <c r="E1036" s="6">
        <v>3</v>
      </c>
      <c r="F1036" s="24" t="s">
        <v>43</v>
      </c>
      <c r="G1036" s="24" t="s">
        <v>43</v>
      </c>
      <c r="H1036" s="24" t="s">
        <v>43</v>
      </c>
      <c r="I1036" s="24" t="s">
        <v>43</v>
      </c>
    </row>
    <row r="1037" spans="1:9" ht="40.799999999999997">
      <c r="A1037" s="21">
        <v>7</v>
      </c>
      <c r="B1037" s="21"/>
      <c r="C1037" s="12" t="s">
        <v>46</v>
      </c>
      <c r="D1037" s="10" t="s">
        <v>263</v>
      </c>
      <c r="E1037" s="6">
        <v>3</v>
      </c>
      <c r="F1037" s="24" t="s">
        <v>43</v>
      </c>
      <c r="G1037" s="24" t="s">
        <v>43</v>
      </c>
      <c r="H1037" s="24" t="s">
        <v>43</v>
      </c>
      <c r="I1037" s="24" t="s">
        <v>43</v>
      </c>
    </row>
    <row r="1038" spans="1:9" ht="40.799999999999997">
      <c r="A1038" s="21">
        <v>7</v>
      </c>
      <c r="B1038" s="21"/>
      <c r="C1038" s="12" t="s">
        <v>46</v>
      </c>
      <c r="D1038" s="10" t="s">
        <v>263</v>
      </c>
      <c r="E1038" s="6">
        <v>3</v>
      </c>
      <c r="F1038" s="24" t="s">
        <v>43</v>
      </c>
      <c r="G1038" s="24" t="s">
        <v>43</v>
      </c>
      <c r="H1038" s="24" t="s">
        <v>43</v>
      </c>
      <c r="I1038" s="24" t="s">
        <v>43</v>
      </c>
    </row>
    <row r="1039" spans="1:9" ht="40.799999999999997">
      <c r="A1039" s="21">
        <v>7</v>
      </c>
      <c r="B1039" s="21"/>
      <c r="C1039" s="12" t="s">
        <v>46</v>
      </c>
      <c r="D1039" s="10" t="s">
        <v>263</v>
      </c>
      <c r="E1039" s="6">
        <v>3</v>
      </c>
      <c r="F1039" s="24" t="s">
        <v>43</v>
      </c>
      <c r="G1039" s="24" t="s">
        <v>43</v>
      </c>
      <c r="H1039" s="24" t="s">
        <v>43</v>
      </c>
      <c r="I1039" s="24" t="s">
        <v>43</v>
      </c>
    </row>
    <row r="1040" spans="1:9" ht="40.799999999999997">
      <c r="A1040" s="21">
        <v>7</v>
      </c>
      <c r="B1040" s="21"/>
      <c r="C1040" s="12" t="s">
        <v>46</v>
      </c>
      <c r="D1040" s="10" t="s">
        <v>263</v>
      </c>
      <c r="E1040" s="6">
        <v>3</v>
      </c>
      <c r="F1040" s="24" t="s">
        <v>43</v>
      </c>
      <c r="G1040" s="24" t="s">
        <v>43</v>
      </c>
      <c r="H1040" s="24" t="s">
        <v>43</v>
      </c>
      <c r="I1040" s="24" t="s">
        <v>43</v>
      </c>
    </row>
    <row r="1041" spans="1:9" ht="40.799999999999997">
      <c r="A1041" s="21">
        <v>7</v>
      </c>
      <c r="B1041" s="21"/>
      <c r="C1041" s="12" t="s">
        <v>46</v>
      </c>
      <c r="D1041" s="10" t="s">
        <v>263</v>
      </c>
      <c r="E1041" s="6">
        <v>3</v>
      </c>
      <c r="F1041" s="24" t="s">
        <v>43</v>
      </c>
      <c r="G1041" s="24" t="s">
        <v>43</v>
      </c>
      <c r="H1041" s="24" t="s">
        <v>43</v>
      </c>
      <c r="I1041" s="24" t="s">
        <v>43</v>
      </c>
    </row>
    <row r="1042" spans="1:9" ht="40.799999999999997">
      <c r="A1042" s="21">
        <v>7</v>
      </c>
      <c r="B1042" s="21"/>
      <c r="C1042" s="12" t="s">
        <v>46</v>
      </c>
      <c r="D1042" s="10" t="s">
        <v>263</v>
      </c>
      <c r="E1042" s="6">
        <v>3</v>
      </c>
      <c r="F1042" s="24" t="s">
        <v>43</v>
      </c>
      <c r="G1042" s="24" t="s">
        <v>43</v>
      </c>
      <c r="H1042" s="24" t="s">
        <v>43</v>
      </c>
      <c r="I1042" s="24" t="s">
        <v>43</v>
      </c>
    </row>
    <row r="1043" spans="1:9" ht="40.799999999999997">
      <c r="A1043" s="21">
        <v>7</v>
      </c>
      <c r="B1043" s="21"/>
      <c r="C1043" s="12" t="s">
        <v>46</v>
      </c>
      <c r="D1043" s="10" t="s">
        <v>263</v>
      </c>
      <c r="E1043" s="6">
        <v>3</v>
      </c>
      <c r="F1043" s="24" t="s">
        <v>43</v>
      </c>
      <c r="G1043" s="24" t="s">
        <v>43</v>
      </c>
      <c r="H1043" s="24" t="s">
        <v>43</v>
      </c>
      <c r="I1043" s="24" t="s">
        <v>43</v>
      </c>
    </row>
    <row r="1044" spans="1:9" ht="40.799999999999997">
      <c r="A1044" s="21">
        <v>7</v>
      </c>
      <c r="B1044" s="21"/>
      <c r="C1044" s="12" t="s">
        <v>46</v>
      </c>
      <c r="D1044" s="10" t="s">
        <v>263</v>
      </c>
      <c r="E1044" s="6">
        <v>3</v>
      </c>
      <c r="F1044" s="24" t="s">
        <v>43</v>
      </c>
      <c r="G1044" s="24" t="s">
        <v>43</v>
      </c>
      <c r="H1044" s="24" t="s">
        <v>43</v>
      </c>
      <c r="I1044" s="24" t="s">
        <v>43</v>
      </c>
    </row>
    <row r="1045" spans="1:9" ht="40.799999999999997">
      <c r="A1045" s="21">
        <v>7</v>
      </c>
      <c r="B1045" s="21"/>
      <c r="C1045" s="12" t="s">
        <v>46</v>
      </c>
      <c r="D1045" s="10" t="s">
        <v>263</v>
      </c>
      <c r="E1045" s="6">
        <v>3</v>
      </c>
      <c r="F1045" s="24" t="s">
        <v>43</v>
      </c>
      <c r="G1045" s="24" t="s">
        <v>43</v>
      </c>
      <c r="H1045" s="24" t="s">
        <v>43</v>
      </c>
      <c r="I1045" s="24" t="s">
        <v>43</v>
      </c>
    </row>
    <row r="1046" spans="1:9" ht="40.799999999999997">
      <c r="A1046" s="21">
        <v>7</v>
      </c>
      <c r="B1046" s="21"/>
      <c r="C1046" s="12" t="s">
        <v>46</v>
      </c>
      <c r="D1046" s="10" t="s">
        <v>263</v>
      </c>
      <c r="E1046" s="6">
        <v>3</v>
      </c>
      <c r="F1046" s="24" t="s">
        <v>43</v>
      </c>
      <c r="G1046" s="24" t="s">
        <v>43</v>
      </c>
      <c r="H1046" s="24" t="s">
        <v>43</v>
      </c>
      <c r="I1046" s="24" t="s">
        <v>43</v>
      </c>
    </row>
    <row r="1047" spans="1:9" ht="40.799999999999997">
      <c r="A1047" s="21">
        <v>7</v>
      </c>
      <c r="B1047" s="21"/>
      <c r="C1047" s="12" t="s">
        <v>46</v>
      </c>
      <c r="D1047" s="10" t="s">
        <v>263</v>
      </c>
      <c r="E1047" s="6">
        <v>3</v>
      </c>
      <c r="F1047" s="24" t="s">
        <v>43</v>
      </c>
      <c r="G1047" s="24" t="s">
        <v>43</v>
      </c>
      <c r="H1047" s="24" t="s">
        <v>43</v>
      </c>
      <c r="I1047" s="24" t="s">
        <v>43</v>
      </c>
    </row>
    <row r="1048" spans="1:9" ht="40.799999999999997">
      <c r="A1048" s="21">
        <v>7</v>
      </c>
      <c r="B1048" s="21"/>
      <c r="C1048" s="12" t="s">
        <v>46</v>
      </c>
      <c r="D1048" s="10" t="s">
        <v>263</v>
      </c>
      <c r="E1048" s="6">
        <v>3</v>
      </c>
      <c r="F1048" s="24" t="s">
        <v>43</v>
      </c>
      <c r="G1048" s="24" t="s">
        <v>43</v>
      </c>
      <c r="H1048" s="24" t="s">
        <v>43</v>
      </c>
      <c r="I1048" s="24" t="s">
        <v>43</v>
      </c>
    </row>
    <row r="1049" spans="1:9" ht="40.799999999999997">
      <c r="A1049" s="21">
        <v>7</v>
      </c>
      <c r="B1049" s="21"/>
      <c r="C1049" s="12" t="s">
        <v>46</v>
      </c>
      <c r="D1049" s="10" t="s">
        <v>263</v>
      </c>
      <c r="E1049" s="6">
        <v>3</v>
      </c>
      <c r="F1049" s="24" t="s">
        <v>43</v>
      </c>
      <c r="G1049" s="24" t="s">
        <v>43</v>
      </c>
      <c r="H1049" s="24" t="s">
        <v>43</v>
      </c>
      <c r="I1049" s="24" t="s">
        <v>43</v>
      </c>
    </row>
    <row r="1050" spans="1:9" ht="40.799999999999997">
      <c r="A1050" s="21">
        <v>7</v>
      </c>
      <c r="B1050" s="21"/>
      <c r="C1050" s="12" t="s">
        <v>46</v>
      </c>
      <c r="D1050" s="10" t="s">
        <v>263</v>
      </c>
      <c r="E1050" s="6">
        <v>3</v>
      </c>
      <c r="F1050" s="24" t="s">
        <v>43</v>
      </c>
      <c r="G1050" s="24" t="s">
        <v>43</v>
      </c>
      <c r="H1050" s="24" t="s">
        <v>43</v>
      </c>
      <c r="I1050" s="24" t="s">
        <v>43</v>
      </c>
    </row>
    <row r="1051" spans="1:9" ht="40.799999999999997">
      <c r="A1051" s="21">
        <v>7</v>
      </c>
      <c r="B1051" s="21"/>
      <c r="C1051" s="12" t="s">
        <v>46</v>
      </c>
      <c r="D1051" s="10" t="s">
        <v>263</v>
      </c>
      <c r="E1051" s="6">
        <v>3</v>
      </c>
      <c r="F1051" s="24" t="s">
        <v>43</v>
      </c>
      <c r="G1051" s="24" t="s">
        <v>43</v>
      </c>
      <c r="H1051" s="24" t="s">
        <v>43</v>
      </c>
      <c r="I1051" s="24" t="s">
        <v>43</v>
      </c>
    </row>
    <row r="1052" spans="1:9" ht="40.799999999999997">
      <c r="A1052" s="21">
        <v>7</v>
      </c>
      <c r="B1052" s="21"/>
      <c r="C1052" s="12" t="s">
        <v>46</v>
      </c>
      <c r="D1052" s="10" t="s">
        <v>263</v>
      </c>
      <c r="E1052" s="6">
        <v>3</v>
      </c>
      <c r="F1052" s="24" t="s">
        <v>43</v>
      </c>
      <c r="G1052" s="24" t="s">
        <v>43</v>
      </c>
      <c r="H1052" s="24" t="s">
        <v>43</v>
      </c>
      <c r="I1052" s="24" t="s">
        <v>43</v>
      </c>
    </row>
    <row r="1053" spans="1:9" ht="40.799999999999997">
      <c r="A1053" s="21">
        <v>7</v>
      </c>
      <c r="B1053" s="21"/>
      <c r="C1053" s="12" t="s">
        <v>46</v>
      </c>
      <c r="D1053" s="10" t="s">
        <v>263</v>
      </c>
      <c r="E1053" s="6">
        <v>3</v>
      </c>
      <c r="F1053" s="24" t="s">
        <v>43</v>
      </c>
      <c r="G1053" s="24" t="s">
        <v>43</v>
      </c>
      <c r="H1053" s="24" t="s">
        <v>43</v>
      </c>
      <c r="I1053" s="24" t="s">
        <v>43</v>
      </c>
    </row>
    <row r="1054" spans="1:9" ht="40.799999999999997">
      <c r="A1054" s="21">
        <v>7</v>
      </c>
      <c r="B1054" s="21"/>
      <c r="C1054" s="12" t="s">
        <v>46</v>
      </c>
      <c r="D1054" s="10" t="s">
        <v>263</v>
      </c>
      <c r="E1054" s="6">
        <v>3</v>
      </c>
      <c r="F1054" s="24" t="s">
        <v>43</v>
      </c>
      <c r="G1054" s="24" t="s">
        <v>43</v>
      </c>
      <c r="H1054" s="24" t="s">
        <v>43</v>
      </c>
      <c r="I1054" s="24" t="s">
        <v>43</v>
      </c>
    </row>
    <row r="1055" spans="1:9" ht="40.799999999999997">
      <c r="A1055" s="21">
        <v>7</v>
      </c>
      <c r="B1055" s="21"/>
      <c r="C1055" s="12" t="s">
        <v>46</v>
      </c>
      <c r="D1055" s="10" t="s">
        <v>263</v>
      </c>
      <c r="E1055" s="6">
        <v>3</v>
      </c>
      <c r="F1055" s="24" t="s">
        <v>43</v>
      </c>
      <c r="G1055" s="24" t="s">
        <v>43</v>
      </c>
      <c r="H1055" s="24" t="s">
        <v>43</v>
      </c>
      <c r="I1055" s="24" t="s">
        <v>43</v>
      </c>
    </row>
    <row r="1056" spans="1:9" ht="40.799999999999997">
      <c r="A1056" s="21">
        <v>7</v>
      </c>
      <c r="B1056" s="21"/>
      <c r="C1056" s="12" t="s">
        <v>46</v>
      </c>
      <c r="D1056" s="10" t="s">
        <v>263</v>
      </c>
      <c r="E1056" s="6">
        <v>3</v>
      </c>
      <c r="F1056" s="24" t="s">
        <v>43</v>
      </c>
      <c r="G1056" s="24" t="s">
        <v>43</v>
      </c>
      <c r="H1056" s="24" t="s">
        <v>43</v>
      </c>
      <c r="I1056" s="24" t="s">
        <v>43</v>
      </c>
    </row>
    <row r="1057" spans="1:9" ht="40.799999999999997">
      <c r="A1057" s="21">
        <v>7</v>
      </c>
      <c r="B1057" s="21"/>
      <c r="C1057" s="12" t="s">
        <v>46</v>
      </c>
      <c r="D1057" s="10" t="s">
        <v>263</v>
      </c>
      <c r="E1057" s="6">
        <v>3</v>
      </c>
      <c r="F1057" s="24" t="s">
        <v>43</v>
      </c>
      <c r="G1057" s="24" t="s">
        <v>43</v>
      </c>
      <c r="H1057" s="24" t="s">
        <v>43</v>
      </c>
      <c r="I1057" s="24" t="s">
        <v>43</v>
      </c>
    </row>
    <row r="1058" spans="1:9" ht="40.799999999999997">
      <c r="A1058" s="21">
        <v>7</v>
      </c>
      <c r="B1058" s="21"/>
      <c r="C1058" s="12" t="s">
        <v>46</v>
      </c>
      <c r="D1058" s="10" t="s">
        <v>263</v>
      </c>
      <c r="E1058" s="6">
        <v>3</v>
      </c>
      <c r="F1058" s="24" t="s">
        <v>43</v>
      </c>
      <c r="G1058" s="24" t="s">
        <v>43</v>
      </c>
      <c r="H1058" s="24" t="s">
        <v>43</v>
      </c>
      <c r="I1058" s="24" t="s">
        <v>43</v>
      </c>
    </row>
    <row r="1059" spans="1:9" ht="40.799999999999997">
      <c r="A1059" s="21">
        <v>7</v>
      </c>
      <c r="B1059" s="21"/>
      <c r="C1059" s="12" t="s">
        <v>46</v>
      </c>
      <c r="D1059" s="10" t="s">
        <v>263</v>
      </c>
      <c r="E1059" s="6">
        <v>3</v>
      </c>
      <c r="F1059" s="24" t="s">
        <v>43</v>
      </c>
      <c r="G1059" s="24" t="s">
        <v>43</v>
      </c>
      <c r="H1059" s="24" t="s">
        <v>43</v>
      </c>
      <c r="I1059" s="24" t="s">
        <v>43</v>
      </c>
    </row>
    <row r="1060" spans="1:9" ht="40.799999999999997">
      <c r="A1060" s="21">
        <v>7</v>
      </c>
      <c r="B1060" s="21"/>
      <c r="C1060" s="12" t="s">
        <v>46</v>
      </c>
      <c r="D1060" s="10" t="s">
        <v>263</v>
      </c>
      <c r="E1060" s="6">
        <v>3</v>
      </c>
      <c r="F1060" s="24" t="s">
        <v>43</v>
      </c>
      <c r="G1060" s="24" t="s">
        <v>43</v>
      </c>
      <c r="H1060" s="24" t="s">
        <v>43</v>
      </c>
      <c r="I1060" s="24" t="s">
        <v>43</v>
      </c>
    </row>
    <row r="1061" spans="1:9" ht="40.799999999999997">
      <c r="A1061" s="21">
        <v>7</v>
      </c>
      <c r="B1061" s="21"/>
      <c r="C1061" s="12" t="s">
        <v>46</v>
      </c>
      <c r="D1061" s="10" t="s">
        <v>263</v>
      </c>
      <c r="E1061" s="6">
        <v>3</v>
      </c>
      <c r="F1061" s="24" t="s">
        <v>43</v>
      </c>
      <c r="G1061" s="24" t="s">
        <v>43</v>
      </c>
      <c r="H1061" s="24" t="s">
        <v>43</v>
      </c>
      <c r="I1061" s="24" t="s">
        <v>43</v>
      </c>
    </row>
    <row r="1062" spans="1:9" ht="40.799999999999997">
      <c r="A1062" s="21">
        <v>7</v>
      </c>
      <c r="B1062" s="21"/>
      <c r="C1062" s="12" t="s">
        <v>46</v>
      </c>
      <c r="D1062" s="10" t="s">
        <v>263</v>
      </c>
      <c r="E1062" s="6">
        <v>3</v>
      </c>
      <c r="F1062" s="24" t="s">
        <v>43</v>
      </c>
      <c r="G1062" s="24" t="s">
        <v>43</v>
      </c>
      <c r="H1062" s="24" t="s">
        <v>43</v>
      </c>
      <c r="I1062" s="24" t="s">
        <v>43</v>
      </c>
    </row>
    <row r="1063" spans="1:9" ht="40.799999999999997">
      <c r="A1063" s="21">
        <v>7</v>
      </c>
      <c r="B1063" s="21"/>
      <c r="C1063" s="12" t="s">
        <v>46</v>
      </c>
      <c r="D1063" s="10" t="s">
        <v>263</v>
      </c>
      <c r="E1063" s="6">
        <v>3</v>
      </c>
      <c r="F1063" s="24" t="s">
        <v>43</v>
      </c>
      <c r="G1063" s="24" t="s">
        <v>43</v>
      </c>
      <c r="H1063" s="24" t="s">
        <v>43</v>
      </c>
      <c r="I1063" s="24" t="s">
        <v>43</v>
      </c>
    </row>
    <row r="1064" spans="1:9" ht="40.799999999999997">
      <c r="A1064" s="21">
        <v>7</v>
      </c>
      <c r="B1064" s="21"/>
      <c r="C1064" s="12" t="s">
        <v>46</v>
      </c>
      <c r="D1064" s="10" t="s">
        <v>263</v>
      </c>
      <c r="E1064" s="6">
        <v>3</v>
      </c>
      <c r="F1064" s="24" t="s">
        <v>43</v>
      </c>
      <c r="G1064" s="24" t="s">
        <v>43</v>
      </c>
      <c r="H1064" s="24" t="s">
        <v>43</v>
      </c>
      <c r="I1064" s="24" t="s">
        <v>43</v>
      </c>
    </row>
    <row r="1065" spans="1:9" ht="40.799999999999997">
      <c r="A1065" s="21">
        <v>7</v>
      </c>
      <c r="B1065" s="21"/>
      <c r="C1065" s="12" t="s">
        <v>46</v>
      </c>
      <c r="D1065" s="10" t="s">
        <v>263</v>
      </c>
      <c r="E1065" s="6">
        <v>3</v>
      </c>
      <c r="F1065" s="24" t="s">
        <v>43</v>
      </c>
      <c r="G1065" s="24" t="s">
        <v>43</v>
      </c>
      <c r="H1065" s="24" t="s">
        <v>43</v>
      </c>
      <c r="I1065" s="24" t="s">
        <v>43</v>
      </c>
    </row>
    <row r="1066" spans="1:9" ht="40.799999999999997">
      <c r="A1066" s="21">
        <v>7</v>
      </c>
      <c r="B1066" s="21"/>
      <c r="C1066" s="12" t="s">
        <v>46</v>
      </c>
      <c r="D1066" s="10" t="s">
        <v>263</v>
      </c>
      <c r="E1066" s="6">
        <v>3</v>
      </c>
      <c r="F1066" s="24" t="s">
        <v>43</v>
      </c>
      <c r="G1066" s="24" t="s">
        <v>43</v>
      </c>
      <c r="H1066" s="24" t="s">
        <v>43</v>
      </c>
      <c r="I1066" s="24" t="s">
        <v>43</v>
      </c>
    </row>
    <row r="1067" spans="1:9" ht="40.799999999999997">
      <c r="A1067" s="21">
        <v>7</v>
      </c>
      <c r="B1067" s="21"/>
      <c r="C1067" s="12" t="s">
        <v>46</v>
      </c>
      <c r="D1067" s="10" t="s">
        <v>263</v>
      </c>
      <c r="E1067" s="6">
        <v>3</v>
      </c>
      <c r="F1067" s="24" t="s">
        <v>43</v>
      </c>
      <c r="G1067" s="24" t="s">
        <v>43</v>
      </c>
      <c r="H1067" s="24" t="s">
        <v>43</v>
      </c>
      <c r="I1067" s="24" t="s">
        <v>43</v>
      </c>
    </row>
    <row r="1068" spans="1:9" ht="40.799999999999997">
      <c r="A1068" s="21">
        <v>7</v>
      </c>
      <c r="B1068" s="21"/>
      <c r="C1068" s="12" t="s">
        <v>46</v>
      </c>
      <c r="D1068" s="10" t="s">
        <v>263</v>
      </c>
      <c r="E1068" s="6">
        <v>3</v>
      </c>
      <c r="F1068" s="24" t="s">
        <v>43</v>
      </c>
      <c r="G1068" s="24" t="s">
        <v>43</v>
      </c>
      <c r="H1068" s="24" t="s">
        <v>43</v>
      </c>
      <c r="I1068" s="24" t="s">
        <v>43</v>
      </c>
    </row>
    <row r="1069" spans="1:9" ht="40.799999999999997">
      <c r="A1069" s="21">
        <v>7</v>
      </c>
      <c r="B1069" s="21"/>
      <c r="C1069" s="12" t="s">
        <v>46</v>
      </c>
      <c r="D1069" s="10" t="s">
        <v>263</v>
      </c>
      <c r="E1069" s="6">
        <v>3</v>
      </c>
      <c r="F1069" s="24" t="s">
        <v>43</v>
      </c>
      <c r="G1069" s="24" t="s">
        <v>43</v>
      </c>
      <c r="H1069" s="24" t="s">
        <v>43</v>
      </c>
      <c r="I1069" s="24" t="s">
        <v>43</v>
      </c>
    </row>
    <row r="1070" spans="1:9" ht="40.799999999999997">
      <c r="A1070" s="21">
        <v>7</v>
      </c>
      <c r="B1070" s="21"/>
      <c r="C1070" s="12" t="s">
        <v>46</v>
      </c>
      <c r="D1070" s="10" t="s">
        <v>263</v>
      </c>
      <c r="E1070" s="6">
        <v>3</v>
      </c>
      <c r="F1070" s="24" t="s">
        <v>43</v>
      </c>
      <c r="G1070" s="24" t="s">
        <v>43</v>
      </c>
      <c r="H1070" s="24" t="s">
        <v>43</v>
      </c>
      <c r="I1070" s="24" t="s">
        <v>43</v>
      </c>
    </row>
    <row r="1071" spans="1:9" ht="40.799999999999997">
      <c r="A1071" s="21">
        <v>7</v>
      </c>
      <c r="B1071" s="21"/>
      <c r="C1071" s="12" t="s">
        <v>46</v>
      </c>
      <c r="D1071" s="10" t="s">
        <v>263</v>
      </c>
      <c r="E1071" s="6">
        <v>3</v>
      </c>
      <c r="F1071" s="24" t="s">
        <v>43</v>
      </c>
      <c r="G1071" s="24" t="s">
        <v>43</v>
      </c>
      <c r="H1071" s="24" t="s">
        <v>43</v>
      </c>
      <c r="I1071" s="24" t="s">
        <v>43</v>
      </c>
    </row>
    <row r="1072" spans="1:9" ht="40.799999999999997">
      <c r="A1072" s="21">
        <v>7</v>
      </c>
      <c r="B1072" s="21"/>
      <c r="C1072" s="12" t="s">
        <v>46</v>
      </c>
      <c r="D1072" s="10" t="s">
        <v>263</v>
      </c>
      <c r="E1072" s="6">
        <v>3</v>
      </c>
      <c r="F1072" s="24" t="s">
        <v>43</v>
      </c>
      <c r="G1072" s="24" t="s">
        <v>43</v>
      </c>
      <c r="H1072" s="24" t="s">
        <v>43</v>
      </c>
      <c r="I1072" s="24" t="s">
        <v>43</v>
      </c>
    </row>
    <row r="1073" spans="1:9" ht="40.799999999999997">
      <c r="A1073" s="21">
        <v>7</v>
      </c>
      <c r="B1073" s="21"/>
      <c r="C1073" s="12" t="s">
        <v>46</v>
      </c>
      <c r="D1073" s="10" t="s">
        <v>263</v>
      </c>
      <c r="E1073" s="6">
        <v>3</v>
      </c>
      <c r="F1073" s="24" t="s">
        <v>43</v>
      </c>
      <c r="G1073" s="24" t="s">
        <v>43</v>
      </c>
      <c r="H1073" s="24" t="s">
        <v>43</v>
      </c>
      <c r="I1073" s="24" t="s">
        <v>43</v>
      </c>
    </row>
    <row r="1074" spans="1:9" ht="40.799999999999997">
      <c r="A1074" s="21">
        <v>7</v>
      </c>
      <c r="B1074" s="21"/>
      <c r="C1074" s="12" t="s">
        <v>46</v>
      </c>
      <c r="D1074" s="10" t="s">
        <v>263</v>
      </c>
      <c r="E1074" s="6">
        <v>3</v>
      </c>
      <c r="F1074" s="24" t="s">
        <v>43</v>
      </c>
      <c r="G1074" s="24" t="s">
        <v>43</v>
      </c>
      <c r="H1074" s="24" t="s">
        <v>43</v>
      </c>
      <c r="I1074" s="24" t="s">
        <v>43</v>
      </c>
    </row>
    <row r="1075" spans="1:9" ht="40.799999999999997">
      <c r="A1075" s="21">
        <v>7</v>
      </c>
      <c r="B1075" s="21"/>
      <c r="C1075" s="12" t="s">
        <v>46</v>
      </c>
      <c r="D1075" s="10" t="s">
        <v>263</v>
      </c>
      <c r="E1075" s="6">
        <v>3</v>
      </c>
      <c r="F1075" s="24" t="s">
        <v>43</v>
      </c>
      <c r="G1075" s="24" t="s">
        <v>43</v>
      </c>
      <c r="H1075" s="24" t="s">
        <v>43</v>
      </c>
      <c r="I1075" s="24" t="s">
        <v>43</v>
      </c>
    </row>
    <row r="1076" spans="1:9" ht="40.799999999999997">
      <c r="A1076" s="21">
        <v>7</v>
      </c>
      <c r="B1076" s="21"/>
      <c r="C1076" s="12" t="s">
        <v>46</v>
      </c>
      <c r="D1076" s="10" t="s">
        <v>263</v>
      </c>
      <c r="E1076" s="6">
        <v>3</v>
      </c>
      <c r="F1076" s="24" t="s">
        <v>43</v>
      </c>
      <c r="G1076" s="24" t="s">
        <v>43</v>
      </c>
      <c r="H1076" s="24" t="s">
        <v>43</v>
      </c>
      <c r="I1076" s="24" t="s">
        <v>43</v>
      </c>
    </row>
    <row r="1077" spans="1:9" ht="40.799999999999997">
      <c r="A1077" s="21">
        <v>7</v>
      </c>
      <c r="B1077" s="21"/>
      <c r="C1077" s="12" t="s">
        <v>46</v>
      </c>
      <c r="D1077" s="10" t="s">
        <v>263</v>
      </c>
      <c r="E1077" s="6">
        <v>3</v>
      </c>
      <c r="F1077" s="24" t="s">
        <v>43</v>
      </c>
      <c r="G1077" s="24" t="s">
        <v>43</v>
      </c>
      <c r="H1077" s="24" t="s">
        <v>43</v>
      </c>
      <c r="I1077" s="24" t="s">
        <v>43</v>
      </c>
    </row>
    <row r="1078" spans="1:9" ht="40.799999999999997">
      <c r="A1078" s="21">
        <v>7</v>
      </c>
      <c r="B1078" s="21"/>
      <c r="C1078" s="12" t="s">
        <v>46</v>
      </c>
      <c r="D1078" s="10" t="s">
        <v>263</v>
      </c>
      <c r="E1078" s="6">
        <v>3</v>
      </c>
      <c r="F1078" s="24" t="s">
        <v>43</v>
      </c>
      <c r="G1078" s="24" t="s">
        <v>43</v>
      </c>
      <c r="H1078" s="24" t="s">
        <v>43</v>
      </c>
      <c r="I1078" s="24" t="s">
        <v>43</v>
      </c>
    </row>
    <row r="1079" spans="1:9" ht="40.799999999999997">
      <c r="A1079" s="21">
        <v>7</v>
      </c>
      <c r="B1079" s="21"/>
      <c r="C1079" s="12" t="s">
        <v>46</v>
      </c>
      <c r="D1079" s="10" t="s">
        <v>263</v>
      </c>
      <c r="E1079" s="6">
        <v>3</v>
      </c>
      <c r="F1079" s="24" t="s">
        <v>43</v>
      </c>
      <c r="G1079" s="24" t="s">
        <v>43</v>
      </c>
      <c r="H1079" s="24" t="s">
        <v>43</v>
      </c>
      <c r="I1079" s="24" t="s">
        <v>43</v>
      </c>
    </row>
    <row r="1080" spans="1:9" ht="40.799999999999997">
      <c r="A1080" s="21">
        <v>7</v>
      </c>
      <c r="B1080" s="21"/>
      <c r="C1080" s="12" t="s">
        <v>46</v>
      </c>
      <c r="D1080" s="10" t="s">
        <v>263</v>
      </c>
      <c r="E1080" s="6">
        <v>3</v>
      </c>
      <c r="F1080" s="24" t="s">
        <v>43</v>
      </c>
      <c r="G1080" s="24" t="s">
        <v>43</v>
      </c>
      <c r="H1080" s="24" t="s">
        <v>43</v>
      </c>
      <c r="I1080" s="24" t="s">
        <v>43</v>
      </c>
    </row>
    <row r="1081" spans="1:9" ht="40.799999999999997">
      <c r="A1081" s="21">
        <v>7</v>
      </c>
      <c r="B1081" s="21"/>
      <c r="C1081" s="12" t="s">
        <v>46</v>
      </c>
      <c r="D1081" s="10" t="s">
        <v>263</v>
      </c>
      <c r="E1081" s="6">
        <v>3</v>
      </c>
      <c r="F1081" s="24" t="s">
        <v>43</v>
      </c>
      <c r="G1081" s="24" t="s">
        <v>43</v>
      </c>
      <c r="H1081" s="24" t="s">
        <v>43</v>
      </c>
      <c r="I1081" s="24" t="s">
        <v>43</v>
      </c>
    </row>
    <row r="1082" spans="1:9" ht="40.799999999999997">
      <c r="A1082" s="21">
        <v>7</v>
      </c>
      <c r="B1082" s="21"/>
      <c r="C1082" s="12" t="s">
        <v>46</v>
      </c>
      <c r="D1082" s="10" t="s">
        <v>263</v>
      </c>
      <c r="E1082" s="6">
        <v>3</v>
      </c>
      <c r="F1082" s="24" t="s">
        <v>43</v>
      </c>
      <c r="G1082" s="24" t="s">
        <v>43</v>
      </c>
      <c r="H1082" s="24" t="s">
        <v>43</v>
      </c>
      <c r="I1082" s="24" t="s">
        <v>43</v>
      </c>
    </row>
    <row r="1083" spans="1:9" ht="40.799999999999997">
      <c r="A1083" s="21">
        <v>7</v>
      </c>
      <c r="B1083" s="21"/>
      <c r="C1083" s="12" t="s">
        <v>46</v>
      </c>
      <c r="D1083" s="10" t="s">
        <v>263</v>
      </c>
      <c r="E1083" s="6">
        <v>3</v>
      </c>
      <c r="F1083" s="24" t="s">
        <v>43</v>
      </c>
      <c r="G1083" s="24" t="s">
        <v>43</v>
      </c>
      <c r="H1083" s="24" t="s">
        <v>43</v>
      </c>
      <c r="I1083" s="24" t="s">
        <v>43</v>
      </c>
    </row>
    <row r="1084" spans="1:9" ht="40.799999999999997">
      <c r="A1084" s="21">
        <v>7</v>
      </c>
      <c r="B1084" s="21"/>
      <c r="C1084" s="12" t="s">
        <v>46</v>
      </c>
      <c r="D1084" s="10" t="s">
        <v>263</v>
      </c>
      <c r="E1084" s="6">
        <v>3</v>
      </c>
      <c r="F1084" s="24" t="s">
        <v>43</v>
      </c>
      <c r="G1084" s="24" t="s">
        <v>43</v>
      </c>
      <c r="H1084" s="24" t="s">
        <v>43</v>
      </c>
      <c r="I1084" s="24" t="s">
        <v>43</v>
      </c>
    </row>
    <row r="1085" spans="1:9" ht="40.799999999999997">
      <c r="A1085" s="21">
        <v>7</v>
      </c>
      <c r="B1085" s="21"/>
      <c r="C1085" s="12" t="s">
        <v>46</v>
      </c>
      <c r="D1085" s="10" t="s">
        <v>263</v>
      </c>
      <c r="E1085" s="6">
        <v>3</v>
      </c>
      <c r="F1085" s="24" t="s">
        <v>43</v>
      </c>
      <c r="G1085" s="24" t="s">
        <v>43</v>
      </c>
      <c r="H1085" s="24" t="s">
        <v>43</v>
      </c>
      <c r="I1085" s="24" t="s">
        <v>43</v>
      </c>
    </row>
    <row r="1086" spans="1:9" ht="40.799999999999997">
      <c r="A1086" s="21">
        <v>7</v>
      </c>
      <c r="B1086" s="21"/>
      <c r="C1086" s="12" t="s">
        <v>46</v>
      </c>
      <c r="D1086" s="10" t="s">
        <v>263</v>
      </c>
      <c r="E1086" s="6">
        <v>3</v>
      </c>
      <c r="F1086" s="24" t="s">
        <v>43</v>
      </c>
      <c r="G1086" s="24" t="s">
        <v>43</v>
      </c>
      <c r="H1086" s="24" t="s">
        <v>43</v>
      </c>
      <c r="I1086" s="24" t="s">
        <v>43</v>
      </c>
    </row>
    <row r="1087" spans="1:9" ht="40.799999999999997">
      <c r="A1087" s="21">
        <v>7</v>
      </c>
      <c r="B1087" s="21"/>
      <c r="C1087" s="12" t="s">
        <v>46</v>
      </c>
      <c r="D1087" s="10" t="s">
        <v>263</v>
      </c>
      <c r="E1087" s="6">
        <v>3</v>
      </c>
      <c r="F1087" s="24" t="s">
        <v>43</v>
      </c>
      <c r="G1087" s="24" t="s">
        <v>43</v>
      </c>
      <c r="H1087" s="24" t="s">
        <v>43</v>
      </c>
      <c r="I1087" s="24" t="s">
        <v>43</v>
      </c>
    </row>
    <row r="1088" spans="1:9" ht="40.799999999999997">
      <c r="A1088" s="21">
        <v>7</v>
      </c>
      <c r="B1088" s="21"/>
      <c r="C1088" s="12" t="s">
        <v>46</v>
      </c>
      <c r="D1088" s="10" t="s">
        <v>263</v>
      </c>
      <c r="E1088" s="6">
        <v>3</v>
      </c>
      <c r="F1088" s="24" t="s">
        <v>43</v>
      </c>
      <c r="G1088" s="24" t="s">
        <v>43</v>
      </c>
      <c r="H1088" s="24" t="s">
        <v>43</v>
      </c>
      <c r="I1088" s="24" t="s">
        <v>43</v>
      </c>
    </row>
    <row r="1089" spans="1:9" ht="40.799999999999997">
      <c r="A1089" s="21">
        <v>7</v>
      </c>
      <c r="B1089" s="21"/>
      <c r="C1089" s="12" t="s">
        <v>46</v>
      </c>
      <c r="D1089" s="10" t="s">
        <v>263</v>
      </c>
      <c r="E1089" s="6">
        <v>3</v>
      </c>
      <c r="F1089" s="24" t="s">
        <v>43</v>
      </c>
      <c r="G1089" s="24" t="s">
        <v>43</v>
      </c>
      <c r="H1089" s="24" t="s">
        <v>43</v>
      </c>
      <c r="I1089" s="24" t="s">
        <v>43</v>
      </c>
    </row>
    <row r="1090" spans="1:9" ht="40.799999999999997">
      <c r="A1090" s="21">
        <v>7</v>
      </c>
      <c r="B1090" s="21"/>
      <c r="C1090" s="12" t="s">
        <v>46</v>
      </c>
      <c r="D1090" s="10" t="s">
        <v>263</v>
      </c>
      <c r="E1090" s="6">
        <v>3</v>
      </c>
      <c r="F1090" s="24" t="s">
        <v>43</v>
      </c>
      <c r="G1090" s="24" t="s">
        <v>43</v>
      </c>
      <c r="H1090" s="24" t="s">
        <v>43</v>
      </c>
      <c r="I1090" s="24" t="s">
        <v>43</v>
      </c>
    </row>
    <row r="1091" spans="1:9" ht="40.799999999999997">
      <c r="A1091" s="21">
        <v>7</v>
      </c>
      <c r="B1091" s="21"/>
      <c r="C1091" s="12" t="s">
        <v>46</v>
      </c>
      <c r="D1091" s="10" t="s">
        <v>263</v>
      </c>
      <c r="E1091" s="6">
        <v>3</v>
      </c>
      <c r="F1091" s="24" t="s">
        <v>43</v>
      </c>
      <c r="G1091" s="24" t="s">
        <v>43</v>
      </c>
      <c r="H1091" s="24" t="s">
        <v>43</v>
      </c>
      <c r="I1091" s="24" t="s">
        <v>43</v>
      </c>
    </row>
    <row r="1092" spans="1:9" ht="40.799999999999997">
      <c r="A1092" s="21">
        <v>7</v>
      </c>
      <c r="B1092" s="21"/>
      <c r="C1092" s="12" t="s">
        <v>46</v>
      </c>
      <c r="D1092" s="10" t="s">
        <v>263</v>
      </c>
      <c r="E1092" s="6">
        <v>3</v>
      </c>
      <c r="F1092" s="24" t="s">
        <v>43</v>
      </c>
      <c r="G1092" s="24" t="s">
        <v>43</v>
      </c>
      <c r="H1092" s="24" t="s">
        <v>43</v>
      </c>
      <c r="I1092" s="24" t="s">
        <v>43</v>
      </c>
    </row>
    <row r="1093" spans="1:9" ht="40.799999999999997">
      <c r="A1093" s="21">
        <v>7</v>
      </c>
      <c r="B1093" s="21"/>
      <c r="C1093" s="12" t="s">
        <v>46</v>
      </c>
      <c r="D1093" s="10" t="s">
        <v>263</v>
      </c>
      <c r="E1093" s="6">
        <v>3</v>
      </c>
      <c r="F1093" s="24" t="s">
        <v>43</v>
      </c>
      <c r="G1093" s="24" t="s">
        <v>43</v>
      </c>
      <c r="H1093" s="24" t="s">
        <v>43</v>
      </c>
      <c r="I1093" s="24" t="s">
        <v>43</v>
      </c>
    </row>
    <row r="1094" spans="1:9" ht="40.799999999999997">
      <c r="A1094" s="21">
        <v>7</v>
      </c>
      <c r="B1094" s="21"/>
      <c r="C1094" s="12" t="s">
        <v>46</v>
      </c>
      <c r="D1094" s="10" t="s">
        <v>263</v>
      </c>
      <c r="E1094" s="6">
        <v>3</v>
      </c>
      <c r="F1094" s="24" t="s">
        <v>43</v>
      </c>
      <c r="G1094" s="24" t="s">
        <v>43</v>
      </c>
      <c r="H1094" s="24" t="s">
        <v>43</v>
      </c>
      <c r="I1094" s="24" t="s">
        <v>43</v>
      </c>
    </row>
    <row r="1095" spans="1:9" ht="40.799999999999997">
      <c r="A1095" s="21">
        <v>7</v>
      </c>
      <c r="B1095" s="21"/>
      <c r="C1095" s="12" t="s">
        <v>46</v>
      </c>
      <c r="D1095" s="10" t="s">
        <v>263</v>
      </c>
      <c r="E1095" s="6">
        <v>3</v>
      </c>
      <c r="F1095" s="24" t="s">
        <v>43</v>
      </c>
      <c r="G1095" s="24" t="s">
        <v>43</v>
      </c>
      <c r="H1095" s="24" t="s">
        <v>43</v>
      </c>
      <c r="I1095" s="24" t="s">
        <v>43</v>
      </c>
    </row>
    <row r="1096" spans="1:9" ht="40.799999999999997">
      <c r="A1096" s="21">
        <v>7</v>
      </c>
      <c r="B1096" s="21"/>
      <c r="C1096" s="12" t="s">
        <v>46</v>
      </c>
      <c r="D1096" s="10" t="s">
        <v>263</v>
      </c>
      <c r="E1096" s="6">
        <v>3</v>
      </c>
      <c r="F1096" s="24" t="s">
        <v>43</v>
      </c>
      <c r="G1096" s="24" t="s">
        <v>43</v>
      </c>
      <c r="H1096" s="24" t="s">
        <v>43</v>
      </c>
      <c r="I1096" s="24" t="s">
        <v>43</v>
      </c>
    </row>
    <row r="1097" spans="1:9" ht="40.799999999999997">
      <c r="A1097" s="21">
        <v>7</v>
      </c>
      <c r="B1097" s="21"/>
      <c r="C1097" s="12" t="s">
        <v>46</v>
      </c>
      <c r="D1097" s="10" t="s">
        <v>263</v>
      </c>
      <c r="E1097" s="6">
        <v>3</v>
      </c>
      <c r="F1097" s="24" t="s">
        <v>43</v>
      </c>
      <c r="G1097" s="24" t="s">
        <v>43</v>
      </c>
      <c r="H1097" s="24" t="s">
        <v>43</v>
      </c>
      <c r="I1097" s="24" t="s">
        <v>43</v>
      </c>
    </row>
    <row r="1098" spans="1:9" ht="40.799999999999997">
      <c r="A1098" s="21">
        <v>7</v>
      </c>
      <c r="B1098" s="21"/>
      <c r="C1098" s="12" t="s">
        <v>46</v>
      </c>
      <c r="D1098" s="10" t="s">
        <v>263</v>
      </c>
      <c r="E1098" s="6">
        <v>3</v>
      </c>
      <c r="F1098" s="24" t="s">
        <v>43</v>
      </c>
      <c r="G1098" s="24" t="s">
        <v>43</v>
      </c>
      <c r="H1098" s="24" t="s">
        <v>43</v>
      </c>
      <c r="I1098" s="24" t="s">
        <v>43</v>
      </c>
    </row>
    <row r="1099" spans="1:9" ht="40.799999999999997">
      <c r="A1099" s="21">
        <v>7</v>
      </c>
      <c r="B1099" s="21"/>
      <c r="C1099" s="12" t="s">
        <v>46</v>
      </c>
      <c r="D1099" s="10" t="s">
        <v>263</v>
      </c>
      <c r="E1099" s="6">
        <v>3</v>
      </c>
      <c r="F1099" s="24" t="s">
        <v>43</v>
      </c>
      <c r="G1099" s="24" t="s">
        <v>43</v>
      </c>
      <c r="H1099" s="24" t="s">
        <v>43</v>
      </c>
      <c r="I1099" s="24" t="s">
        <v>43</v>
      </c>
    </row>
    <row r="1100" spans="1:9" ht="40.799999999999997">
      <c r="A1100" s="21">
        <v>7</v>
      </c>
      <c r="B1100" s="21"/>
      <c r="C1100" s="12" t="s">
        <v>46</v>
      </c>
      <c r="D1100" s="10" t="s">
        <v>263</v>
      </c>
      <c r="E1100" s="6">
        <v>3</v>
      </c>
      <c r="F1100" s="24" t="s">
        <v>43</v>
      </c>
      <c r="G1100" s="24" t="s">
        <v>43</v>
      </c>
      <c r="H1100" s="24" t="s">
        <v>43</v>
      </c>
      <c r="I1100" s="24" t="s">
        <v>43</v>
      </c>
    </row>
    <row r="1101" spans="1:9" ht="40.799999999999997">
      <c r="A1101" s="21">
        <v>7</v>
      </c>
      <c r="B1101" s="21"/>
      <c r="C1101" s="12" t="s">
        <v>46</v>
      </c>
      <c r="D1101" s="10" t="s">
        <v>263</v>
      </c>
      <c r="E1101" s="6">
        <v>3</v>
      </c>
      <c r="F1101" s="24" t="s">
        <v>43</v>
      </c>
      <c r="G1101" s="24" t="s">
        <v>43</v>
      </c>
      <c r="H1101" s="24" t="s">
        <v>43</v>
      </c>
      <c r="I1101" s="24" t="s">
        <v>43</v>
      </c>
    </row>
    <row r="1102" spans="1:9" ht="40.799999999999997">
      <c r="A1102" s="21">
        <v>7</v>
      </c>
      <c r="B1102" s="21"/>
      <c r="C1102" s="12" t="s">
        <v>46</v>
      </c>
      <c r="D1102" s="10" t="s">
        <v>263</v>
      </c>
      <c r="E1102" s="6">
        <v>3</v>
      </c>
      <c r="F1102" s="24" t="s">
        <v>43</v>
      </c>
      <c r="G1102" s="24" t="s">
        <v>43</v>
      </c>
      <c r="H1102" s="24" t="s">
        <v>43</v>
      </c>
      <c r="I1102" s="24" t="s">
        <v>43</v>
      </c>
    </row>
    <row r="1103" spans="1:9" ht="40.799999999999997">
      <c r="A1103" s="21">
        <v>7</v>
      </c>
      <c r="B1103" s="21"/>
      <c r="C1103" s="12" t="s">
        <v>46</v>
      </c>
      <c r="D1103" s="10" t="s">
        <v>263</v>
      </c>
      <c r="E1103" s="6">
        <v>3</v>
      </c>
      <c r="F1103" s="24" t="s">
        <v>43</v>
      </c>
      <c r="G1103" s="24" t="s">
        <v>43</v>
      </c>
      <c r="H1103" s="24" t="s">
        <v>43</v>
      </c>
      <c r="I1103" s="24" t="s">
        <v>43</v>
      </c>
    </row>
    <row r="1104" spans="1:9" ht="40.799999999999997">
      <c r="A1104" s="21">
        <v>7</v>
      </c>
      <c r="B1104" s="21"/>
      <c r="C1104" s="12" t="s">
        <v>46</v>
      </c>
      <c r="D1104" s="10" t="s">
        <v>263</v>
      </c>
      <c r="E1104" s="6">
        <v>3</v>
      </c>
      <c r="F1104" s="24" t="s">
        <v>43</v>
      </c>
      <c r="G1104" s="24" t="s">
        <v>43</v>
      </c>
      <c r="H1104" s="24" t="s">
        <v>43</v>
      </c>
      <c r="I1104" s="24" t="s">
        <v>43</v>
      </c>
    </row>
    <row r="1105" spans="1:9" ht="40.799999999999997">
      <c r="A1105" s="21">
        <v>7</v>
      </c>
      <c r="B1105" s="21"/>
      <c r="C1105" s="12" t="s">
        <v>46</v>
      </c>
      <c r="D1105" s="10" t="s">
        <v>263</v>
      </c>
      <c r="E1105" s="6">
        <v>3</v>
      </c>
      <c r="F1105" s="24" t="s">
        <v>43</v>
      </c>
      <c r="G1105" s="24" t="s">
        <v>43</v>
      </c>
      <c r="H1105" s="24" t="s">
        <v>43</v>
      </c>
      <c r="I1105" s="24" t="s">
        <v>43</v>
      </c>
    </row>
    <row r="1106" spans="1:9" ht="40.799999999999997">
      <c r="A1106" s="21">
        <v>7</v>
      </c>
      <c r="B1106" s="21"/>
      <c r="C1106" s="12" t="s">
        <v>46</v>
      </c>
      <c r="D1106" s="10" t="s">
        <v>263</v>
      </c>
      <c r="E1106" s="6">
        <v>3</v>
      </c>
      <c r="F1106" s="24" t="s">
        <v>43</v>
      </c>
      <c r="G1106" s="24" t="s">
        <v>43</v>
      </c>
      <c r="H1106" s="24" t="s">
        <v>43</v>
      </c>
      <c r="I1106" s="24" t="s">
        <v>43</v>
      </c>
    </row>
    <row r="1107" spans="1:9" ht="40.799999999999997">
      <c r="A1107" s="21">
        <v>7</v>
      </c>
      <c r="B1107" s="21"/>
      <c r="C1107" s="12" t="s">
        <v>46</v>
      </c>
      <c r="D1107" s="10" t="s">
        <v>263</v>
      </c>
      <c r="E1107" s="6">
        <v>3</v>
      </c>
      <c r="F1107" s="24" t="s">
        <v>43</v>
      </c>
      <c r="G1107" s="24" t="s">
        <v>43</v>
      </c>
      <c r="H1107" s="24" t="s">
        <v>43</v>
      </c>
      <c r="I1107" s="24" t="s">
        <v>43</v>
      </c>
    </row>
    <row r="1108" spans="1:9" ht="40.799999999999997">
      <c r="A1108" s="21">
        <v>7</v>
      </c>
      <c r="B1108" s="21"/>
      <c r="C1108" s="12" t="s">
        <v>46</v>
      </c>
      <c r="D1108" s="10" t="s">
        <v>263</v>
      </c>
      <c r="E1108" s="6">
        <v>3</v>
      </c>
      <c r="F1108" s="24" t="s">
        <v>43</v>
      </c>
      <c r="G1108" s="24" t="s">
        <v>43</v>
      </c>
      <c r="H1108" s="24" t="s">
        <v>43</v>
      </c>
      <c r="I1108" s="24" t="s">
        <v>43</v>
      </c>
    </row>
    <row r="1109" spans="1:9" ht="40.799999999999997">
      <c r="A1109" s="21">
        <v>7</v>
      </c>
      <c r="B1109" s="21"/>
      <c r="C1109" s="12" t="s">
        <v>46</v>
      </c>
      <c r="D1109" s="10" t="s">
        <v>263</v>
      </c>
      <c r="E1109" s="6">
        <v>3</v>
      </c>
      <c r="F1109" s="24" t="s">
        <v>43</v>
      </c>
      <c r="G1109" s="24" t="s">
        <v>43</v>
      </c>
      <c r="H1109" s="24" t="s">
        <v>43</v>
      </c>
      <c r="I1109" s="24" t="s">
        <v>43</v>
      </c>
    </row>
    <row r="1110" spans="1:9" ht="40.799999999999997">
      <c r="A1110" s="21">
        <v>7</v>
      </c>
      <c r="B1110" s="21"/>
      <c r="C1110" s="12" t="s">
        <v>46</v>
      </c>
      <c r="D1110" s="10" t="s">
        <v>263</v>
      </c>
      <c r="E1110" s="6">
        <v>3</v>
      </c>
      <c r="F1110" s="24" t="s">
        <v>43</v>
      </c>
      <c r="G1110" s="24" t="s">
        <v>43</v>
      </c>
      <c r="H1110" s="24" t="s">
        <v>43</v>
      </c>
      <c r="I1110" s="24" t="s">
        <v>43</v>
      </c>
    </row>
    <row r="1111" spans="1:9" ht="40.799999999999997">
      <c r="A1111" s="21">
        <v>7</v>
      </c>
      <c r="B1111" s="21"/>
      <c r="C1111" s="12" t="s">
        <v>46</v>
      </c>
      <c r="D1111" s="10" t="s">
        <v>263</v>
      </c>
      <c r="E1111" s="6">
        <v>3</v>
      </c>
      <c r="F1111" s="24" t="s">
        <v>43</v>
      </c>
      <c r="G1111" s="24" t="s">
        <v>43</v>
      </c>
      <c r="H1111" s="24" t="s">
        <v>43</v>
      </c>
      <c r="I1111" s="24" t="s">
        <v>43</v>
      </c>
    </row>
    <row r="1112" spans="1:9" ht="40.799999999999997">
      <c r="A1112" s="21">
        <v>7</v>
      </c>
      <c r="B1112" s="21"/>
      <c r="C1112" s="12" t="s">
        <v>46</v>
      </c>
      <c r="D1112" s="10" t="s">
        <v>263</v>
      </c>
      <c r="E1112" s="6">
        <v>3</v>
      </c>
      <c r="F1112" s="24" t="s">
        <v>43</v>
      </c>
      <c r="G1112" s="24" t="s">
        <v>43</v>
      </c>
      <c r="H1112" s="24" t="s">
        <v>43</v>
      </c>
      <c r="I1112" s="24" t="s">
        <v>43</v>
      </c>
    </row>
    <row r="1113" spans="1:9" ht="40.799999999999997">
      <c r="A1113" s="21">
        <v>7</v>
      </c>
      <c r="B1113" s="21"/>
      <c r="C1113" s="12" t="s">
        <v>46</v>
      </c>
      <c r="D1113" s="10" t="s">
        <v>263</v>
      </c>
      <c r="E1113" s="6">
        <v>3</v>
      </c>
      <c r="F1113" s="24" t="s">
        <v>43</v>
      </c>
      <c r="G1113" s="24" t="s">
        <v>43</v>
      </c>
      <c r="H1113" s="24" t="s">
        <v>43</v>
      </c>
      <c r="I1113" s="24" t="s">
        <v>43</v>
      </c>
    </row>
    <row r="1114" spans="1:9" ht="40.799999999999997">
      <c r="A1114" s="21">
        <v>7</v>
      </c>
      <c r="B1114" s="21"/>
      <c r="C1114" s="12" t="s">
        <v>46</v>
      </c>
      <c r="D1114" s="10" t="s">
        <v>263</v>
      </c>
      <c r="E1114" s="6">
        <v>3</v>
      </c>
      <c r="F1114" s="24" t="s">
        <v>43</v>
      </c>
      <c r="G1114" s="24" t="s">
        <v>43</v>
      </c>
      <c r="H1114" s="24" t="s">
        <v>43</v>
      </c>
      <c r="I1114" s="24" t="s">
        <v>43</v>
      </c>
    </row>
    <row r="1115" spans="1:9" ht="40.799999999999997">
      <c r="A1115" s="21">
        <v>7</v>
      </c>
      <c r="B1115" s="21"/>
      <c r="C1115" s="12" t="s">
        <v>46</v>
      </c>
      <c r="D1115" s="10" t="s">
        <v>263</v>
      </c>
      <c r="E1115" s="6">
        <v>3</v>
      </c>
      <c r="F1115" s="24" t="s">
        <v>43</v>
      </c>
      <c r="G1115" s="24" t="s">
        <v>43</v>
      </c>
      <c r="H1115" s="24" t="s">
        <v>43</v>
      </c>
      <c r="I1115" s="24" t="s">
        <v>43</v>
      </c>
    </row>
    <row r="1116" spans="1:9" ht="40.799999999999997">
      <c r="A1116" s="21">
        <v>7</v>
      </c>
      <c r="B1116" s="21"/>
      <c r="C1116" s="12" t="s">
        <v>46</v>
      </c>
      <c r="D1116" s="10" t="s">
        <v>263</v>
      </c>
      <c r="E1116" s="6">
        <v>3</v>
      </c>
      <c r="F1116" s="24" t="s">
        <v>43</v>
      </c>
      <c r="G1116" s="24" t="s">
        <v>43</v>
      </c>
      <c r="H1116" s="24" t="s">
        <v>43</v>
      </c>
      <c r="I1116" s="24" t="s">
        <v>43</v>
      </c>
    </row>
    <row r="1117" spans="1:9" ht="40.799999999999997">
      <c r="A1117" s="21">
        <v>7</v>
      </c>
      <c r="B1117" s="21"/>
      <c r="C1117" s="12" t="s">
        <v>46</v>
      </c>
      <c r="D1117" s="10" t="s">
        <v>263</v>
      </c>
      <c r="E1117" s="6">
        <v>3</v>
      </c>
      <c r="F1117" s="24" t="s">
        <v>43</v>
      </c>
      <c r="G1117" s="24" t="s">
        <v>43</v>
      </c>
      <c r="H1117" s="24" t="s">
        <v>43</v>
      </c>
      <c r="I1117" s="24" t="s">
        <v>43</v>
      </c>
    </row>
    <row r="1118" spans="1:9" ht="40.799999999999997">
      <c r="A1118" s="21">
        <v>7</v>
      </c>
      <c r="B1118" s="21"/>
      <c r="C1118" s="12" t="s">
        <v>46</v>
      </c>
      <c r="D1118" s="10" t="s">
        <v>263</v>
      </c>
      <c r="E1118" s="6">
        <v>3</v>
      </c>
      <c r="F1118" s="24" t="s">
        <v>43</v>
      </c>
      <c r="G1118" s="24" t="s">
        <v>43</v>
      </c>
      <c r="H1118" s="24" t="s">
        <v>43</v>
      </c>
      <c r="I1118" s="24" t="s">
        <v>43</v>
      </c>
    </row>
    <row r="1119" spans="1:9" ht="40.799999999999997">
      <c r="A1119" s="21">
        <v>7</v>
      </c>
      <c r="B1119" s="21"/>
      <c r="C1119" s="12" t="s">
        <v>46</v>
      </c>
      <c r="D1119" s="10" t="s">
        <v>263</v>
      </c>
      <c r="E1119" s="6">
        <v>3</v>
      </c>
      <c r="F1119" s="24" t="s">
        <v>43</v>
      </c>
      <c r="G1119" s="24" t="s">
        <v>43</v>
      </c>
      <c r="H1119" s="24" t="s">
        <v>43</v>
      </c>
      <c r="I1119" s="24" t="s">
        <v>43</v>
      </c>
    </row>
    <row r="1120" spans="1:9" ht="40.799999999999997">
      <c r="A1120" s="21">
        <v>7</v>
      </c>
      <c r="B1120" s="21"/>
      <c r="C1120" s="12" t="s">
        <v>46</v>
      </c>
      <c r="D1120" s="10" t="s">
        <v>263</v>
      </c>
      <c r="E1120" s="6">
        <v>3</v>
      </c>
      <c r="F1120" s="24" t="s">
        <v>43</v>
      </c>
      <c r="G1120" s="24" t="s">
        <v>43</v>
      </c>
      <c r="H1120" s="24" t="s">
        <v>43</v>
      </c>
      <c r="I1120" s="24" t="s">
        <v>43</v>
      </c>
    </row>
    <row r="1121" spans="1:9" ht="40.799999999999997">
      <c r="A1121" s="21">
        <v>7</v>
      </c>
      <c r="B1121" s="21"/>
      <c r="C1121" s="12" t="s">
        <v>46</v>
      </c>
      <c r="D1121" s="10" t="s">
        <v>263</v>
      </c>
      <c r="E1121" s="6">
        <v>3</v>
      </c>
      <c r="F1121" s="24" t="s">
        <v>43</v>
      </c>
      <c r="G1121" s="24" t="s">
        <v>43</v>
      </c>
      <c r="H1121" s="24" t="s">
        <v>43</v>
      </c>
      <c r="I1121" s="24" t="s">
        <v>43</v>
      </c>
    </row>
    <row r="1122" spans="1:9" ht="40.799999999999997">
      <c r="A1122" s="21">
        <v>7</v>
      </c>
      <c r="B1122" s="21"/>
      <c r="C1122" s="12" t="s">
        <v>46</v>
      </c>
      <c r="D1122" s="10" t="s">
        <v>263</v>
      </c>
      <c r="E1122" s="6">
        <v>3</v>
      </c>
      <c r="F1122" s="24" t="s">
        <v>43</v>
      </c>
      <c r="G1122" s="24" t="s">
        <v>43</v>
      </c>
      <c r="H1122" s="24" t="s">
        <v>43</v>
      </c>
      <c r="I1122" s="24" t="s">
        <v>43</v>
      </c>
    </row>
    <row r="1123" spans="1:9" ht="40.799999999999997">
      <c r="A1123" s="21">
        <v>7</v>
      </c>
      <c r="B1123" s="21"/>
      <c r="C1123" s="12" t="s">
        <v>46</v>
      </c>
      <c r="D1123" s="10" t="s">
        <v>263</v>
      </c>
      <c r="E1123" s="6">
        <v>3</v>
      </c>
      <c r="F1123" s="24" t="s">
        <v>43</v>
      </c>
      <c r="G1123" s="24" t="s">
        <v>43</v>
      </c>
      <c r="H1123" s="24" t="s">
        <v>43</v>
      </c>
      <c r="I1123" s="24" t="s">
        <v>43</v>
      </c>
    </row>
    <row r="1124" spans="1:9" ht="40.799999999999997">
      <c r="A1124" s="21">
        <v>7</v>
      </c>
      <c r="B1124" s="21"/>
      <c r="C1124" s="12" t="s">
        <v>46</v>
      </c>
      <c r="D1124" s="10" t="s">
        <v>263</v>
      </c>
      <c r="E1124" s="6">
        <v>3</v>
      </c>
      <c r="F1124" s="24" t="s">
        <v>43</v>
      </c>
      <c r="G1124" s="24" t="s">
        <v>43</v>
      </c>
      <c r="H1124" s="24" t="s">
        <v>43</v>
      </c>
      <c r="I1124" s="24" t="s">
        <v>43</v>
      </c>
    </row>
    <row r="1125" spans="1:9" ht="40.799999999999997">
      <c r="A1125" s="21">
        <v>7</v>
      </c>
      <c r="B1125" s="21"/>
      <c r="C1125" s="12" t="s">
        <v>46</v>
      </c>
      <c r="D1125" s="10" t="s">
        <v>263</v>
      </c>
      <c r="E1125" s="6">
        <v>3</v>
      </c>
      <c r="F1125" s="24" t="s">
        <v>43</v>
      </c>
      <c r="G1125" s="24" t="s">
        <v>43</v>
      </c>
      <c r="H1125" s="24" t="s">
        <v>43</v>
      </c>
      <c r="I1125" s="24" t="s">
        <v>43</v>
      </c>
    </row>
    <row r="1126" spans="1:9" ht="40.799999999999997">
      <c r="A1126" s="21">
        <v>7</v>
      </c>
      <c r="B1126" s="21"/>
      <c r="C1126" s="12" t="s">
        <v>46</v>
      </c>
      <c r="D1126" s="10" t="s">
        <v>263</v>
      </c>
      <c r="E1126" s="6">
        <v>3</v>
      </c>
      <c r="F1126" s="24" t="s">
        <v>43</v>
      </c>
      <c r="G1126" s="24" t="s">
        <v>43</v>
      </c>
      <c r="H1126" s="24" t="s">
        <v>43</v>
      </c>
      <c r="I1126" s="24" t="s">
        <v>43</v>
      </c>
    </row>
    <row r="1127" spans="1:9" ht="40.799999999999997">
      <c r="A1127" s="21">
        <v>7</v>
      </c>
      <c r="B1127" s="21"/>
      <c r="C1127" s="12" t="s">
        <v>46</v>
      </c>
      <c r="D1127" s="10" t="s">
        <v>263</v>
      </c>
      <c r="E1127" s="6">
        <v>3</v>
      </c>
      <c r="F1127" s="24" t="s">
        <v>43</v>
      </c>
      <c r="G1127" s="24" t="s">
        <v>43</v>
      </c>
      <c r="H1127" s="24" t="s">
        <v>43</v>
      </c>
      <c r="I1127" s="24" t="s">
        <v>43</v>
      </c>
    </row>
    <row r="1128" spans="1:9" ht="40.799999999999997">
      <c r="A1128" s="21">
        <v>7</v>
      </c>
      <c r="B1128" s="21"/>
      <c r="C1128" s="12" t="s">
        <v>46</v>
      </c>
      <c r="D1128" s="10" t="s">
        <v>263</v>
      </c>
      <c r="E1128" s="6">
        <v>3</v>
      </c>
      <c r="F1128" s="24" t="s">
        <v>43</v>
      </c>
      <c r="G1128" s="24" t="s">
        <v>43</v>
      </c>
      <c r="H1128" s="24" t="s">
        <v>43</v>
      </c>
      <c r="I1128" s="24" t="s">
        <v>43</v>
      </c>
    </row>
    <row r="1129" spans="1:9" ht="40.799999999999997">
      <c r="A1129" s="21">
        <v>7</v>
      </c>
      <c r="B1129" s="21"/>
      <c r="C1129" s="12" t="s">
        <v>46</v>
      </c>
      <c r="D1129" s="10" t="s">
        <v>263</v>
      </c>
      <c r="E1129" s="6">
        <v>3</v>
      </c>
      <c r="F1129" s="24" t="s">
        <v>43</v>
      </c>
      <c r="G1129" s="24" t="s">
        <v>43</v>
      </c>
      <c r="H1129" s="24" t="s">
        <v>43</v>
      </c>
      <c r="I1129" s="24" t="s">
        <v>43</v>
      </c>
    </row>
    <row r="1130" spans="1:9" ht="40.799999999999997">
      <c r="A1130" s="21">
        <v>7</v>
      </c>
      <c r="B1130" s="21"/>
      <c r="C1130" s="12" t="s">
        <v>46</v>
      </c>
      <c r="D1130" s="10" t="s">
        <v>263</v>
      </c>
      <c r="E1130" s="6">
        <v>3</v>
      </c>
      <c r="F1130" s="24" t="s">
        <v>43</v>
      </c>
      <c r="G1130" s="24" t="s">
        <v>43</v>
      </c>
      <c r="H1130" s="24" t="s">
        <v>43</v>
      </c>
      <c r="I1130" s="24" t="s">
        <v>43</v>
      </c>
    </row>
    <row r="1131" spans="1:9" ht="40.799999999999997">
      <c r="A1131" s="21">
        <v>7</v>
      </c>
      <c r="B1131" s="21"/>
      <c r="C1131" s="12" t="s">
        <v>46</v>
      </c>
      <c r="D1131" s="10" t="s">
        <v>263</v>
      </c>
      <c r="E1131" s="6">
        <v>3</v>
      </c>
      <c r="F1131" s="24" t="s">
        <v>43</v>
      </c>
      <c r="G1131" s="24" t="s">
        <v>43</v>
      </c>
      <c r="H1131" s="24" t="s">
        <v>43</v>
      </c>
      <c r="I1131" s="24" t="s">
        <v>43</v>
      </c>
    </row>
    <row r="1132" spans="1:9" ht="40.799999999999997">
      <c r="A1132" s="21">
        <v>7</v>
      </c>
      <c r="B1132" s="21"/>
      <c r="C1132" s="12" t="s">
        <v>46</v>
      </c>
      <c r="D1132" s="10" t="s">
        <v>263</v>
      </c>
      <c r="E1132" s="6">
        <v>3</v>
      </c>
      <c r="F1132" s="24" t="s">
        <v>43</v>
      </c>
      <c r="G1132" s="24" t="s">
        <v>43</v>
      </c>
      <c r="H1132" s="24" t="s">
        <v>43</v>
      </c>
      <c r="I1132" s="24" t="s">
        <v>43</v>
      </c>
    </row>
    <row r="1133" spans="1:9" ht="40.799999999999997">
      <c r="A1133" s="21">
        <v>7</v>
      </c>
      <c r="B1133" s="21"/>
      <c r="C1133" s="12" t="s">
        <v>46</v>
      </c>
      <c r="D1133" s="10" t="s">
        <v>263</v>
      </c>
      <c r="E1133" s="6">
        <v>3</v>
      </c>
      <c r="F1133" s="24" t="s">
        <v>43</v>
      </c>
      <c r="G1133" s="24" t="s">
        <v>43</v>
      </c>
      <c r="H1133" s="24" t="s">
        <v>43</v>
      </c>
      <c r="I1133" s="24" t="s">
        <v>43</v>
      </c>
    </row>
    <row r="1134" spans="1:9" ht="40.799999999999997">
      <c r="A1134" s="21">
        <v>7</v>
      </c>
      <c r="B1134" s="21"/>
      <c r="C1134" s="12" t="s">
        <v>46</v>
      </c>
      <c r="D1134" s="10" t="s">
        <v>263</v>
      </c>
      <c r="E1134" s="6">
        <v>3</v>
      </c>
      <c r="F1134" s="24" t="s">
        <v>43</v>
      </c>
      <c r="G1134" s="24" t="s">
        <v>43</v>
      </c>
      <c r="H1134" s="24" t="s">
        <v>43</v>
      </c>
      <c r="I1134" s="24" t="s">
        <v>43</v>
      </c>
    </row>
    <row r="1135" spans="1:9" ht="40.799999999999997">
      <c r="A1135" s="21">
        <v>7</v>
      </c>
      <c r="B1135" s="21"/>
      <c r="C1135" s="12" t="s">
        <v>46</v>
      </c>
      <c r="D1135" s="10" t="s">
        <v>263</v>
      </c>
      <c r="E1135" s="6">
        <v>3</v>
      </c>
      <c r="F1135" s="24" t="s">
        <v>43</v>
      </c>
      <c r="G1135" s="24" t="s">
        <v>43</v>
      </c>
      <c r="H1135" s="24" t="s">
        <v>43</v>
      </c>
      <c r="I1135" s="24" t="s">
        <v>43</v>
      </c>
    </row>
    <row r="1136" spans="1:9" ht="40.799999999999997">
      <c r="A1136" s="21">
        <v>7</v>
      </c>
      <c r="B1136" s="21"/>
      <c r="C1136" s="12" t="s">
        <v>46</v>
      </c>
      <c r="D1136" s="10" t="s">
        <v>263</v>
      </c>
      <c r="E1136" s="6">
        <v>3</v>
      </c>
      <c r="F1136" s="24" t="s">
        <v>43</v>
      </c>
      <c r="G1136" s="24" t="s">
        <v>43</v>
      </c>
      <c r="H1136" s="24" t="s">
        <v>43</v>
      </c>
      <c r="I1136" s="24" t="s">
        <v>43</v>
      </c>
    </row>
    <row r="1137" spans="1:9" ht="40.799999999999997">
      <c r="A1137" s="21">
        <v>7</v>
      </c>
      <c r="B1137" s="21"/>
      <c r="C1137" s="12" t="s">
        <v>46</v>
      </c>
      <c r="D1137" s="10" t="s">
        <v>263</v>
      </c>
      <c r="E1137" s="6">
        <v>3</v>
      </c>
      <c r="F1137" s="24" t="s">
        <v>43</v>
      </c>
      <c r="G1137" s="24" t="s">
        <v>43</v>
      </c>
      <c r="H1137" s="24" t="s">
        <v>43</v>
      </c>
      <c r="I1137" s="24" t="s">
        <v>43</v>
      </c>
    </row>
    <row r="1138" spans="1:9" ht="40.799999999999997">
      <c r="A1138" s="21">
        <v>7</v>
      </c>
      <c r="B1138" s="21"/>
      <c r="C1138" s="12" t="s">
        <v>46</v>
      </c>
      <c r="D1138" s="10" t="s">
        <v>263</v>
      </c>
      <c r="E1138" s="6">
        <v>3</v>
      </c>
      <c r="F1138" s="24" t="s">
        <v>43</v>
      </c>
      <c r="G1138" s="24" t="s">
        <v>43</v>
      </c>
      <c r="H1138" s="24" t="s">
        <v>43</v>
      </c>
      <c r="I1138" s="24" t="s">
        <v>43</v>
      </c>
    </row>
    <row r="1139" spans="1:9" ht="40.799999999999997">
      <c r="A1139" s="21">
        <v>7</v>
      </c>
      <c r="B1139" s="21"/>
      <c r="C1139" s="12" t="s">
        <v>46</v>
      </c>
      <c r="D1139" s="10" t="s">
        <v>263</v>
      </c>
      <c r="E1139" s="6">
        <v>3</v>
      </c>
      <c r="F1139" s="24" t="s">
        <v>43</v>
      </c>
      <c r="G1139" s="24" t="s">
        <v>43</v>
      </c>
      <c r="H1139" s="24" t="s">
        <v>43</v>
      </c>
      <c r="I1139" s="24" t="s">
        <v>43</v>
      </c>
    </row>
    <row r="1140" spans="1:9" ht="40.799999999999997">
      <c r="A1140" s="21">
        <v>7</v>
      </c>
      <c r="B1140" s="21"/>
      <c r="C1140" s="12" t="s">
        <v>46</v>
      </c>
      <c r="D1140" s="10" t="s">
        <v>263</v>
      </c>
      <c r="E1140" s="6">
        <v>3</v>
      </c>
      <c r="F1140" s="24" t="s">
        <v>43</v>
      </c>
      <c r="G1140" s="24" t="s">
        <v>43</v>
      </c>
      <c r="H1140" s="24" t="s">
        <v>43</v>
      </c>
      <c r="I1140" s="24" t="s">
        <v>43</v>
      </c>
    </row>
    <row r="1141" spans="1:9" ht="40.799999999999997">
      <c r="A1141" s="21">
        <v>7</v>
      </c>
      <c r="B1141" s="21"/>
      <c r="C1141" s="12" t="s">
        <v>46</v>
      </c>
      <c r="D1141" s="10" t="s">
        <v>263</v>
      </c>
      <c r="E1141" s="6">
        <v>3</v>
      </c>
      <c r="F1141" s="24" t="s">
        <v>43</v>
      </c>
      <c r="G1141" s="24" t="s">
        <v>43</v>
      </c>
      <c r="H1141" s="24" t="s">
        <v>43</v>
      </c>
      <c r="I1141" s="24" t="s">
        <v>43</v>
      </c>
    </row>
    <row r="1142" spans="1:9" ht="40.799999999999997">
      <c r="A1142" s="21">
        <v>7</v>
      </c>
      <c r="B1142" s="21"/>
      <c r="C1142" s="12" t="s">
        <v>46</v>
      </c>
      <c r="D1142" s="10" t="s">
        <v>263</v>
      </c>
      <c r="E1142" s="6">
        <v>3</v>
      </c>
      <c r="F1142" s="24" t="s">
        <v>43</v>
      </c>
      <c r="G1142" s="24" t="s">
        <v>43</v>
      </c>
      <c r="H1142" s="24" t="s">
        <v>43</v>
      </c>
      <c r="I1142" s="24" t="s">
        <v>43</v>
      </c>
    </row>
    <row r="1143" spans="1:9" ht="40.799999999999997">
      <c r="A1143" s="21">
        <v>7</v>
      </c>
      <c r="B1143" s="21"/>
      <c r="C1143" s="12" t="s">
        <v>46</v>
      </c>
      <c r="D1143" s="10" t="s">
        <v>263</v>
      </c>
      <c r="E1143" s="6">
        <v>3</v>
      </c>
      <c r="F1143" s="24" t="s">
        <v>43</v>
      </c>
      <c r="G1143" s="24" t="s">
        <v>43</v>
      </c>
      <c r="H1143" s="24" t="s">
        <v>43</v>
      </c>
      <c r="I1143" s="24" t="s">
        <v>43</v>
      </c>
    </row>
    <row r="1144" spans="1:9" ht="40.799999999999997">
      <c r="A1144" s="21">
        <v>7</v>
      </c>
      <c r="B1144" s="21"/>
      <c r="C1144" s="12" t="s">
        <v>46</v>
      </c>
      <c r="D1144" s="10" t="s">
        <v>263</v>
      </c>
      <c r="E1144" s="6">
        <v>3</v>
      </c>
      <c r="F1144" s="24" t="s">
        <v>43</v>
      </c>
      <c r="G1144" s="24" t="s">
        <v>43</v>
      </c>
      <c r="H1144" s="24" t="s">
        <v>43</v>
      </c>
      <c r="I1144" s="24" t="s">
        <v>43</v>
      </c>
    </row>
    <row r="1145" spans="1:9" ht="40.799999999999997">
      <c r="A1145" s="21">
        <v>7</v>
      </c>
      <c r="B1145" s="21"/>
      <c r="C1145" s="12" t="s">
        <v>46</v>
      </c>
      <c r="D1145" s="10" t="s">
        <v>263</v>
      </c>
      <c r="E1145" s="6">
        <v>3</v>
      </c>
      <c r="F1145" s="24" t="s">
        <v>43</v>
      </c>
      <c r="G1145" s="24" t="s">
        <v>43</v>
      </c>
      <c r="H1145" s="24" t="s">
        <v>43</v>
      </c>
      <c r="I1145" s="24" t="s">
        <v>43</v>
      </c>
    </row>
    <row r="1146" spans="1:9" ht="40.799999999999997">
      <c r="A1146" s="21">
        <v>7</v>
      </c>
      <c r="B1146" s="21"/>
      <c r="C1146" s="12" t="s">
        <v>46</v>
      </c>
      <c r="D1146" s="10" t="s">
        <v>263</v>
      </c>
      <c r="E1146" s="6">
        <v>3</v>
      </c>
      <c r="F1146" s="24" t="s">
        <v>43</v>
      </c>
      <c r="G1146" s="24" t="s">
        <v>43</v>
      </c>
      <c r="H1146" s="24" t="s">
        <v>43</v>
      </c>
      <c r="I1146" s="24" t="s">
        <v>43</v>
      </c>
    </row>
    <row r="1147" spans="1:9" ht="40.799999999999997">
      <c r="A1147" s="21">
        <v>7</v>
      </c>
      <c r="B1147" s="21"/>
      <c r="C1147" s="12" t="s">
        <v>46</v>
      </c>
      <c r="D1147" s="10" t="s">
        <v>263</v>
      </c>
      <c r="E1147" s="6">
        <v>3</v>
      </c>
      <c r="F1147" s="24" t="s">
        <v>43</v>
      </c>
      <c r="G1147" s="24" t="s">
        <v>43</v>
      </c>
      <c r="H1147" s="24" t="s">
        <v>43</v>
      </c>
      <c r="I1147" s="24" t="s">
        <v>43</v>
      </c>
    </row>
    <row r="1148" spans="1:9" ht="40.799999999999997">
      <c r="A1148" s="21">
        <v>7</v>
      </c>
      <c r="B1148" s="21"/>
      <c r="C1148" s="12" t="s">
        <v>46</v>
      </c>
      <c r="D1148" s="10" t="s">
        <v>263</v>
      </c>
      <c r="E1148" s="6">
        <v>3</v>
      </c>
      <c r="F1148" s="24" t="s">
        <v>43</v>
      </c>
      <c r="G1148" s="24" t="s">
        <v>43</v>
      </c>
      <c r="H1148" s="24" t="s">
        <v>43</v>
      </c>
      <c r="I1148" s="24" t="s">
        <v>43</v>
      </c>
    </row>
    <row r="1149" spans="1:9" ht="40.799999999999997">
      <c r="A1149" s="21">
        <v>7</v>
      </c>
      <c r="B1149" s="21"/>
      <c r="C1149" s="12" t="s">
        <v>46</v>
      </c>
      <c r="D1149" s="10" t="s">
        <v>263</v>
      </c>
      <c r="E1149" s="6">
        <v>3</v>
      </c>
      <c r="F1149" s="24" t="s">
        <v>43</v>
      </c>
      <c r="G1149" s="24" t="s">
        <v>43</v>
      </c>
      <c r="H1149" s="24" t="s">
        <v>43</v>
      </c>
      <c r="I1149" s="24" t="s">
        <v>43</v>
      </c>
    </row>
    <row r="1150" spans="1:9" ht="40.799999999999997">
      <c r="A1150" s="21">
        <v>7</v>
      </c>
      <c r="B1150" s="21"/>
      <c r="C1150" s="12" t="s">
        <v>46</v>
      </c>
      <c r="D1150" s="10" t="s">
        <v>263</v>
      </c>
      <c r="E1150" s="6">
        <v>3</v>
      </c>
      <c r="F1150" s="24" t="s">
        <v>43</v>
      </c>
      <c r="G1150" s="24" t="s">
        <v>43</v>
      </c>
      <c r="H1150" s="24" t="s">
        <v>43</v>
      </c>
      <c r="I1150" s="24" t="s">
        <v>43</v>
      </c>
    </row>
    <row r="1151" spans="1:9" ht="40.799999999999997">
      <c r="A1151" s="21">
        <v>7</v>
      </c>
      <c r="B1151" s="21"/>
      <c r="C1151" s="12" t="s">
        <v>46</v>
      </c>
      <c r="D1151" s="10" t="s">
        <v>263</v>
      </c>
      <c r="E1151" s="6">
        <v>3</v>
      </c>
      <c r="F1151" s="24" t="s">
        <v>43</v>
      </c>
      <c r="G1151" s="24" t="s">
        <v>43</v>
      </c>
      <c r="H1151" s="24" t="s">
        <v>43</v>
      </c>
      <c r="I1151" s="24" t="s">
        <v>43</v>
      </c>
    </row>
    <row r="1152" spans="1:9" ht="40.799999999999997">
      <c r="A1152" s="21">
        <v>7</v>
      </c>
      <c r="B1152" s="21"/>
      <c r="C1152" s="12" t="s">
        <v>46</v>
      </c>
      <c r="D1152" s="10" t="s">
        <v>263</v>
      </c>
      <c r="E1152" s="6">
        <v>3</v>
      </c>
      <c r="F1152" s="24" t="s">
        <v>43</v>
      </c>
      <c r="G1152" s="24" t="s">
        <v>43</v>
      </c>
      <c r="H1152" s="24" t="s">
        <v>43</v>
      </c>
      <c r="I1152" s="24" t="s">
        <v>43</v>
      </c>
    </row>
    <row r="1153" spans="1:9" ht="40.799999999999997">
      <c r="A1153" s="21">
        <v>7</v>
      </c>
      <c r="B1153" s="21"/>
      <c r="C1153" s="12" t="s">
        <v>46</v>
      </c>
      <c r="D1153" s="10" t="s">
        <v>263</v>
      </c>
      <c r="E1153" s="6">
        <v>3</v>
      </c>
      <c r="F1153" s="24" t="s">
        <v>43</v>
      </c>
      <c r="G1153" s="24" t="s">
        <v>43</v>
      </c>
      <c r="H1153" s="24" t="s">
        <v>43</v>
      </c>
      <c r="I1153" s="24" t="s">
        <v>43</v>
      </c>
    </row>
    <row r="1154" spans="1:9" ht="40.799999999999997">
      <c r="A1154" s="21">
        <v>7</v>
      </c>
      <c r="B1154" s="21"/>
      <c r="C1154" s="12" t="s">
        <v>46</v>
      </c>
      <c r="D1154" s="10" t="s">
        <v>263</v>
      </c>
      <c r="E1154" s="6">
        <v>3</v>
      </c>
      <c r="F1154" s="24" t="s">
        <v>43</v>
      </c>
      <c r="G1154" s="24" t="s">
        <v>43</v>
      </c>
      <c r="H1154" s="24" t="s">
        <v>43</v>
      </c>
      <c r="I1154" s="24" t="s">
        <v>43</v>
      </c>
    </row>
    <row r="1155" spans="1:9" ht="40.799999999999997">
      <c r="A1155" s="21">
        <v>7</v>
      </c>
      <c r="B1155" s="21"/>
      <c r="C1155" s="12" t="s">
        <v>46</v>
      </c>
      <c r="D1155" s="10" t="s">
        <v>263</v>
      </c>
      <c r="E1155" s="6">
        <v>3</v>
      </c>
      <c r="F1155" s="24" t="s">
        <v>43</v>
      </c>
      <c r="G1155" s="24" t="s">
        <v>43</v>
      </c>
      <c r="H1155" s="24" t="s">
        <v>43</v>
      </c>
      <c r="I1155" s="24" t="s">
        <v>43</v>
      </c>
    </row>
    <row r="1156" spans="1:9" ht="40.799999999999997">
      <c r="A1156" s="21">
        <v>7</v>
      </c>
      <c r="B1156" s="21"/>
      <c r="C1156" s="12" t="s">
        <v>46</v>
      </c>
      <c r="D1156" s="10" t="s">
        <v>263</v>
      </c>
      <c r="E1156" s="6">
        <v>3</v>
      </c>
      <c r="F1156" s="24" t="s">
        <v>43</v>
      </c>
      <c r="G1156" s="24" t="s">
        <v>43</v>
      </c>
      <c r="H1156" s="24" t="s">
        <v>43</v>
      </c>
      <c r="I1156" s="24" t="s">
        <v>43</v>
      </c>
    </row>
    <row r="1157" spans="1:9" ht="40.799999999999997">
      <c r="A1157" s="21">
        <v>7</v>
      </c>
      <c r="B1157" s="21"/>
      <c r="C1157" s="12" t="s">
        <v>46</v>
      </c>
      <c r="D1157" s="10" t="s">
        <v>263</v>
      </c>
      <c r="E1157" s="6">
        <v>3</v>
      </c>
      <c r="F1157" s="24" t="s">
        <v>43</v>
      </c>
      <c r="G1157" s="24" t="s">
        <v>43</v>
      </c>
      <c r="H1157" s="24" t="s">
        <v>43</v>
      </c>
      <c r="I1157" s="24" t="s">
        <v>43</v>
      </c>
    </row>
    <row r="1158" spans="1:9" ht="40.799999999999997">
      <c r="A1158" s="21">
        <v>7</v>
      </c>
      <c r="B1158" s="21"/>
      <c r="C1158" s="12" t="s">
        <v>46</v>
      </c>
      <c r="D1158" s="10" t="s">
        <v>263</v>
      </c>
      <c r="E1158" s="6">
        <v>3</v>
      </c>
      <c r="F1158" s="24" t="s">
        <v>43</v>
      </c>
      <c r="G1158" s="24" t="s">
        <v>43</v>
      </c>
      <c r="H1158" s="24" t="s">
        <v>43</v>
      </c>
      <c r="I1158" s="24" t="s">
        <v>43</v>
      </c>
    </row>
    <row r="1159" spans="1:9" ht="40.799999999999997">
      <c r="A1159" s="21">
        <v>7</v>
      </c>
      <c r="B1159" s="21"/>
      <c r="C1159" s="12" t="s">
        <v>46</v>
      </c>
      <c r="D1159" s="10" t="s">
        <v>263</v>
      </c>
      <c r="E1159" s="6">
        <v>3</v>
      </c>
      <c r="F1159" s="24" t="s">
        <v>43</v>
      </c>
      <c r="G1159" s="24" t="s">
        <v>43</v>
      </c>
      <c r="H1159" s="24" t="s">
        <v>43</v>
      </c>
      <c r="I1159" s="24" t="s">
        <v>43</v>
      </c>
    </row>
    <row r="1160" spans="1:9" ht="40.799999999999997">
      <c r="A1160" s="21">
        <v>7</v>
      </c>
      <c r="B1160" s="21"/>
      <c r="C1160" s="12" t="s">
        <v>46</v>
      </c>
      <c r="D1160" s="10" t="s">
        <v>263</v>
      </c>
      <c r="E1160" s="6">
        <v>3</v>
      </c>
      <c r="F1160" s="24" t="s">
        <v>43</v>
      </c>
      <c r="G1160" s="24" t="s">
        <v>43</v>
      </c>
      <c r="H1160" s="24" t="s">
        <v>43</v>
      </c>
      <c r="I1160" s="24" t="s">
        <v>43</v>
      </c>
    </row>
    <row r="1161" spans="1:9" ht="40.799999999999997">
      <c r="A1161" s="21">
        <v>7</v>
      </c>
      <c r="B1161" s="21"/>
      <c r="C1161" s="12" t="s">
        <v>46</v>
      </c>
      <c r="D1161" s="10" t="s">
        <v>263</v>
      </c>
      <c r="E1161" s="6">
        <v>3</v>
      </c>
      <c r="F1161" s="24" t="s">
        <v>43</v>
      </c>
      <c r="G1161" s="24" t="s">
        <v>43</v>
      </c>
      <c r="H1161" s="24" t="s">
        <v>43</v>
      </c>
      <c r="I1161" s="24" t="s">
        <v>43</v>
      </c>
    </row>
    <row r="1162" spans="1:9" ht="40.799999999999997">
      <c r="A1162" s="21">
        <v>7</v>
      </c>
      <c r="B1162" s="21"/>
      <c r="C1162" s="12" t="s">
        <v>46</v>
      </c>
      <c r="D1162" s="10" t="s">
        <v>263</v>
      </c>
      <c r="E1162" s="6">
        <v>3</v>
      </c>
      <c r="F1162" s="24" t="s">
        <v>43</v>
      </c>
      <c r="G1162" s="24" t="s">
        <v>43</v>
      </c>
      <c r="H1162" s="24" t="s">
        <v>43</v>
      </c>
      <c r="I1162" s="24" t="s">
        <v>43</v>
      </c>
    </row>
    <row r="1163" spans="1:9" ht="40.799999999999997">
      <c r="A1163" s="21">
        <v>7</v>
      </c>
      <c r="B1163" s="21"/>
      <c r="C1163" s="12" t="s">
        <v>46</v>
      </c>
      <c r="D1163" s="10" t="s">
        <v>263</v>
      </c>
      <c r="E1163" s="6">
        <v>3</v>
      </c>
      <c r="F1163" s="24" t="s">
        <v>43</v>
      </c>
      <c r="G1163" s="24" t="s">
        <v>43</v>
      </c>
      <c r="H1163" s="24" t="s">
        <v>43</v>
      </c>
      <c r="I1163" s="24" t="s">
        <v>43</v>
      </c>
    </row>
    <row r="1164" spans="1:9" ht="40.799999999999997">
      <c r="A1164" s="21">
        <v>7</v>
      </c>
      <c r="B1164" s="21"/>
      <c r="C1164" s="12" t="s">
        <v>46</v>
      </c>
      <c r="D1164" s="10" t="s">
        <v>263</v>
      </c>
      <c r="E1164" s="6">
        <v>3</v>
      </c>
      <c r="F1164" s="24" t="s">
        <v>43</v>
      </c>
      <c r="G1164" s="24" t="s">
        <v>43</v>
      </c>
      <c r="H1164" s="24" t="s">
        <v>43</v>
      </c>
      <c r="I1164" s="24" t="s">
        <v>43</v>
      </c>
    </row>
    <row r="1165" spans="1:9" ht="40.799999999999997">
      <c r="A1165" s="21">
        <v>7</v>
      </c>
      <c r="B1165" s="21"/>
      <c r="C1165" s="12" t="s">
        <v>46</v>
      </c>
      <c r="D1165" s="10" t="s">
        <v>263</v>
      </c>
      <c r="E1165" s="6">
        <v>3</v>
      </c>
      <c r="F1165" s="24" t="s">
        <v>43</v>
      </c>
      <c r="G1165" s="24" t="s">
        <v>43</v>
      </c>
      <c r="H1165" s="24" t="s">
        <v>43</v>
      </c>
      <c r="I1165" s="24" t="s">
        <v>43</v>
      </c>
    </row>
    <row r="1166" spans="1:9" ht="40.799999999999997">
      <c r="A1166" s="21">
        <v>7</v>
      </c>
      <c r="B1166" s="21"/>
      <c r="C1166" s="12" t="s">
        <v>46</v>
      </c>
      <c r="D1166" s="10" t="s">
        <v>263</v>
      </c>
      <c r="E1166" s="6">
        <v>3</v>
      </c>
      <c r="F1166" s="24" t="s">
        <v>43</v>
      </c>
      <c r="G1166" s="24" t="s">
        <v>43</v>
      </c>
      <c r="H1166" s="24" t="s">
        <v>43</v>
      </c>
      <c r="I1166" s="24" t="s">
        <v>43</v>
      </c>
    </row>
    <row r="1167" spans="1:9" ht="40.799999999999997">
      <c r="A1167" s="21">
        <v>7</v>
      </c>
      <c r="B1167" s="21"/>
      <c r="C1167" s="12" t="s">
        <v>46</v>
      </c>
      <c r="D1167" s="10" t="s">
        <v>263</v>
      </c>
      <c r="E1167" s="6">
        <v>3</v>
      </c>
      <c r="F1167" s="24" t="s">
        <v>43</v>
      </c>
      <c r="G1167" s="24" t="s">
        <v>43</v>
      </c>
      <c r="H1167" s="24" t="s">
        <v>43</v>
      </c>
      <c r="I1167" s="24" t="s">
        <v>43</v>
      </c>
    </row>
    <row r="1168" spans="1:9" ht="40.799999999999997">
      <c r="A1168" s="21">
        <v>7</v>
      </c>
      <c r="B1168" s="21"/>
      <c r="C1168" s="12" t="s">
        <v>46</v>
      </c>
      <c r="D1168" s="10" t="s">
        <v>263</v>
      </c>
      <c r="E1168" s="6">
        <v>3</v>
      </c>
      <c r="F1168" s="24" t="s">
        <v>43</v>
      </c>
      <c r="G1168" s="24" t="s">
        <v>43</v>
      </c>
      <c r="H1168" s="24" t="s">
        <v>43</v>
      </c>
      <c r="I1168" s="24" t="s">
        <v>43</v>
      </c>
    </row>
    <row r="1169" spans="1:9" ht="40.799999999999997">
      <c r="A1169" s="21">
        <v>7</v>
      </c>
      <c r="B1169" s="21"/>
      <c r="C1169" s="12" t="s">
        <v>46</v>
      </c>
      <c r="D1169" s="10" t="s">
        <v>263</v>
      </c>
      <c r="E1169" s="6">
        <v>3</v>
      </c>
      <c r="F1169" s="24" t="s">
        <v>43</v>
      </c>
      <c r="G1169" s="24" t="s">
        <v>43</v>
      </c>
      <c r="H1169" s="24" t="s">
        <v>43</v>
      </c>
      <c r="I1169" s="24" t="s">
        <v>43</v>
      </c>
    </row>
    <row r="1170" spans="1:9" ht="40.799999999999997">
      <c r="A1170" s="21">
        <v>7</v>
      </c>
      <c r="B1170" s="21"/>
      <c r="C1170" s="12" t="s">
        <v>46</v>
      </c>
      <c r="D1170" s="10" t="s">
        <v>263</v>
      </c>
      <c r="E1170" s="6">
        <v>3</v>
      </c>
      <c r="F1170" s="24" t="s">
        <v>43</v>
      </c>
      <c r="G1170" s="24" t="s">
        <v>43</v>
      </c>
      <c r="H1170" s="24" t="s">
        <v>43</v>
      </c>
      <c r="I1170" s="24" t="s">
        <v>43</v>
      </c>
    </row>
    <row r="1171" spans="1:9" ht="40.799999999999997">
      <c r="A1171" s="21">
        <v>7</v>
      </c>
      <c r="B1171" s="21"/>
      <c r="C1171" s="12" t="s">
        <v>46</v>
      </c>
      <c r="D1171" s="10" t="s">
        <v>263</v>
      </c>
      <c r="E1171" s="6">
        <v>3</v>
      </c>
      <c r="F1171" s="24" t="s">
        <v>43</v>
      </c>
      <c r="G1171" s="24" t="s">
        <v>43</v>
      </c>
      <c r="H1171" s="24" t="s">
        <v>43</v>
      </c>
      <c r="I1171" s="24" t="s">
        <v>43</v>
      </c>
    </row>
    <row r="1172" spans="1:9" ht="40.799999999999997">
      <c r="A1172" s="21">
        <v>7</v>
      </c>
      <c r="B1172" s="21"/>
      <c r="C1172" s="12" t="s">
        <v>46</v>
      </c>
      <c r="D1172" s="10" t="s">
        <v>263</v>
      </c>
      <c r="E1172" s="6">
        <v>3</v>
      </c>
      <c r="F1172" s="24" t="s">
        <v>43</v>
      </c>
      <c r="G1172" s="24" t="s">
        <v>43</v>
      </c>
      <c r="H1172" s="24" t="s">
        <v>43</v>
      </c>
      <c r="I1172" s="24" t="s">
        <v>43</v>
      </c>
    </row>
    <row r="1173" spans="1:9" ht="40.799999999999997">
      <c r="A1173" s="21">
        <v>7</v>
      </c>
      <c r="B1173" s="21"/>
      <c r="C1173" s="12" t="s">
        <v>46</v>
      </c>
      <c r="D1173" s="10" t="s">
        <v>263</v>
      </c>
      <c r="E1173" s="6">
        <v>3</v>
      </c>
      <c r="F1173" s="24" t="s">
        <v>43</v>
      </c>
      <c r="G1173" s="24" t="s">
        <v>43</v>
      </c>
      <c r="H1173" s="24" t="s">
        <v>43</v>
      </c>
      <c r="I1173" s="24" t="s">
        <v>43</v>
      </c>
    </row>
    <row r="1174" spans="1:9" ht="40.799999999999997">
      <c r="A1174" s="21">
        <v>7</v>
      </c>
      <c r="B1174" s="21"/>
      <c r="C1174" s="12" t="s">
        <v>46</v>
      </c>
      <c r="D1174" s="10" t="s">
        <v>263</v>
      </c>
      <c r="E1174" s="6">
        <v>3</v>
      </c>
      <c r="F1174" s="24" t="s">
        <v>43</v>
      </c>
      <c r="G1174" s="24" t="s">
        <v>43</v>
      </c>
      <c r="H1174" s="24" t="s">
        <v>43</v>
      </c>
      <c r="I1174" s="24" t="s">
        <v>43</v>
      </c>
    </row>
    <row r="1175" spans="1:9" ht="40.799999999999997">
      <c r="A1175" s="21">
        <v>7</v>
      </c>
      <c r="B1175" s="21"/>
      <c r="C1175" s="12" t="s">
        <v>46</v>
      </c>
      <c r="D1175" s="10" t="s">
        <v>263</v>
      </c>
      <c r="E1175" s="6">
        <v>3</v>
      </c>
      <c r="F1175" s="24" t="s">
        <v>43</v>
      </c>
      <c r="G1175" s="24" t="s">
        <v>43</v>
      </c>
      <c r="H1175" s="24" t="s">
        <v>43</v>
      </c>
      <c r="I1175" s="24" t="s">
        <v>43</v>
      </c>
    </row>
    <row r="1176" spans="1:9" ht="40.799999999999997">
      <c r="A1176" s="21">
        <v>7</v>
      </c>
      <c r="B1176" s="21"/>
      <c r="C1176" s="12" t="s">
        <v>46</v>
      </c>
      <c r="D1176" s="10" t="s">
        <v>263</v>
      </c>
      <c r="E1176" s="6">
        <v>3</v>
      </c>
      <c r="F1176" s="24" t="s">
        <v>43</v>
      </c>
      <c r="G1176" s="24" t="s">
        <v>43</v>
      </c>
      <c r="H1176" s="24" t="s">
        <v>43</v>
      </c>
      <c r="I1176" s="24" t="s">
        <v>43</v>
      </c>
    </row>
    <row r="1177" spans="1:9" ht="40.799999999999997">
      <c r="A1177" s="21">
        <v>7</v>
      </c>
      <c r="B1177" s="21"/>
      <c r="C1177" s="12" t="s">
        <v>46</v>
      </c>
      <c r="D1177" s="10" t="s">
        <v>263</v>
      </c>
      <c r="E1177" s="6">
        <v>3</v>
      </c>
      <c r="F1177" s="24" t="s">
        <v>43</v>
      </c>
      <c r="G1177" s="24" t="s">
        <v>43</v>
      </c>
      <c r="H1177" s="24" t="s">
        <v>43</v>
      </c>
      <c r="I1177" s="24" t="s">
        <v>43</v>
      </c>
    </row>
    <row r="1178" spans="1:9" ht="40.799999999999997">
      <c r="A1178" s="21">
        <v>7</v>
      </c>
      <c r="B1178" s="21"/>
      <c r="C1178" s="12" t="s">
        <v>46</v>
      </c>
      <c r="D1178" s="10" t="s">
        <v>263</v>
      </c>
      <c r="E1178" s="6">
        <v>3</v>
      </c>
      <c r="F1178" s="24" t="s">
        <v>43</v>
      </c>
      <c r="G1178" s="24" t="s">
        <v>43</v>
      </c>
      <c r="H1178" s="24" t="s">
        <v>43</v>
      </c>
      <c r="I1178" s="24" t="s">
        <v>43</v>
      </c>
    </row>
    <row r="1179" spans="1:9" ht="40.799999999999997">
      <c r="A1179" s="21">
        <v>7</v>
      </c>
      <c r="B1179" s="21"/>
      <c r="C1179" s="12" t="s">
        <v>46</v>
      </c>
      <c r="D1179" s="10" t="s">
        <v>263</v>
      </c>
      <c r="E1179" s="6">
        <v>3</v>
      </c>
      <c r="F1179" s="24" t="s">
        <v>43</v>
      </c>
      <c r="G1179" s="24" t="s">
        <v>43</v>
      </c>
      <c r="H1179" s="24" t="s">
        <v>43</v>
      </c>
      <c r="I1179" s="24" t="s">
        <v>43</v>
      </c>
    </row>
    <row r="1180" spans="1:9" ht="40.799999999999997">
      <c r="A1180" s="21">
        <v>7</v>
      </c>
      <c r="B1180" s="21"/>
      <c r="C1180" s="12" t="s">
        <v>46</v>
      </c>
      <c r="D1180" s="10" t="s">
        <v>263</v>
      </c>
      <c r="E1180" s="6">
        <v>3</v>
      </c>
      <c r="F1180" s="24" t="s">
        <v>43</v>
      </c>
      <c r="G1180" s="24" t="s">
        <v>43</v>
      </c>
      <c r="H1180" s="24" t="s">
        <v>43</v>
      </c>
      <c r="I1180" s="24" t="s">
        <v>43</v>
      </c>
    </row>
    <row r="1181" spans="1:9" ht="40.799999999999997">
      <c r="A1181" s="21">
        <v>7</v>
      </c>
      <c r="B1181" s="21"/>
      <c r="C1181" s="12" t="s">
        <v>46</v>
      </c>
      <c r="D1181" s="10" t="s">
        <v>263</v>
      </c>
      <c r="E1181" s="6">
        <v>3</v>
      </c>
      <c r="F1181" s="24" t="s">
        <v>43</v>
      </c>
      <c r="G1181" s="24" t="s">
        <v>43</v>
      </c>
      <c r="H1181" s="24" t="s">
        <v>43</v>
      </c>
      <c r="I1181" s="24" t="s">
        <v>43</v>
      </c>
    </row>
    <row r="1182" spans="1:9" ht="40.799999999999997">
      <c r="A1182" s="21">
        <v>7</v>
      </c>
      <c r="B1182" s="21"/>
      <c r="C1182" s="12" t="s">
        <v>46</v>
      </c>
      <c r="D1182" s="10" t="s">
        <v>263</v>
      </c>
      <c r="E1182" s="6">
        <v>3</v>
      </c>
      <c r="F1182" s="24" t="s">
        <v>43</v>
      </c>
      <c r="G1182" s="24" t="s">
        <v>43</v>
      </c>
      <c r="H1182" s="24" t="s">
        <v>43</v>
      </c>
      <c r="I1182" s="24" t="s">
        <v>43</v>
      </c>
    </row>
    <row r="1183" spans="1:9" ht="40.799999999999997">
      <c r="A1183" s="21">
        <v>7</v>
      </c>
      <c r="B1183" s="21"/>
      <c r="C1183" s="12" t="s">
        <v>46</v>
      </c>
      <c r="D1183" s="10" t="s">
        <v>263</v>
      </c>
      <c r="E1183" s="6">
        <v>3</v>
      </c>
      <c r="F1183" s="24" t="s">
        <v>43</v>
      </c>
      <c r="G1183" s="24" t="s">
        <v>43</v>
      </c>
      <c r="H1183" s="24" t="s">
        <v>43</v>
      </c>
      <c r="I1183" s="24" t="s">
        <v>43</v>
      </c>
    </row>
    <row r="1184" spans="1:9" ht="40.799999999999997">
      <c r="A1184" s="21">
        <v>7</v>
      </c>
      <c r="B1184" s="21"/>
      <c r="C1184" s="12" t="s">
        <v>46</v>
      </c>
      <c r="D1184" s="10" t="s">
        <v>263</v>
      </c>
      <c r="E1184" s="6">
        <v>3</v>
      </c>
      <c r="F1184" s="24" t="s">
        <v>43</v>
      </c>
      <c r="G1184" s="24" t="s">
        <v>43</v>
      </c>
      <c r="H1184" s="24" t="s">
        <v>43</v>
      </c>
      <c r="I1184" s="24" t="s">
        <v>43</v>
      </c>
    </row>
    <row r="1185" spans="1:9" ht="40.799999999999997">
      <c r="A1185" s="21">
        <v>7</v>
      </c>
      <c r="B1185" s="21"/>
      <c r="C1185" s="12" t="s">
        <v>46</v>
      </c>
      <c r="D1185" s="10" t="s">
        <v>263</v>
      </c>
      <c r="E1185" s="6">
        <v>3</v>
      </c>
      <c r="F1185" s="24" t="s">
        <v>43</v>
      </c>
      <c r="G1185" s="24" t="s">
        <v>43</v>
      </c>
      <c r="H1185" s="24" t="s">
        <v>43</v>
      </c>
      <c r="I1185" s="24" t="s">
        <v>43</v>
      </c>
    </row>
    <row r="1186" spans="1:9" ht="40.799999999999997">
      <c r="A1186" s="21">
        <v>7</v>
      </c>
      <c r="B1186" s="21"/>
      <c r="C1186" s="12" t="s">
        <v>46</v>
      </c>
      <c r="D1186" s="10" t="s">
        <v>263</v>
      </c>
      <c r="E1186" s="6">
        <v>3</v>
      </c>
      <c r="F1186" s="24" t="s">
        <v>43</v>
      </c>
      <c r="G1186" s="24" t="s">
        <v>43</v>
      </c>
      <c r="H1186" s="24" t="s">
        <v>43</v>
      </c>
      <c r="I1186" s="24" t="s">
        <v>43</v>
      </c>
    </row>
    <row r="1187" spans="1:9" ht="40.799999999999997">
      <c r="A1187" s="21">
        <v>7</v>
      </c>
      <c r="B1187" s="21"/>
      <c r="C1187" s="12" t="s">
        <v>46</v>
      </c>
      <c r="D1187" s="10" t="s">
        <v>263</v>
      </c>
      <c r="E1187" s="6">
        <v>3</v>
      </c>
      <c r="F1187" s="24" t="s">
        <v>43</v>
      </c>
      <c r="G1187" s="24" t="s">
        <v>43</v>
      </c>
      <c r="H1187" s="24" t="s">
        <v>43</v>
      </c>
      <c r="I1187" s="24" t="s">
        <v>43</v>
      </c>
    </row>
    <row r="1188" spans="1:9" ht="40.799999999999997">
      <c r="A1188" s="21">
        <v>7</v>
      </c>
      <c r="B1188" s="21"/>
      <c r="C1188" s="12" t="s">
        <v>46</v>
      </c>
      <c r="D1188" s="10" t="s">
        <v>263</v>
      </c>
      <c r="E1188" s="6">
        <v>3</v>
      </c>
      <c r="F1188" s="24" t="s">
        <v>43</v>
      </c>
      <c r="G1188" s="24" t="s">
        <v>43</v>
      </c>
      <c r="H1188" s="24" t="s">
        <v>43</v>
      </c>
      <c r="I1188" s="24" t="s">
        <v>43</v>
      </c>
    </row>
    <row r="1189" spans="1:9" ht="40.799999999999997">
      <c r="A1189" s="21">
        <v>7</v>
      </c>
      <c r="B1189" s="21"/>
      <c r="C1189" s="12" t="s">
        <v>46</v>
      </c>
      <c r="D1189" s="10" t="s">
        <v>263</v>
      </c>
      <c r="E1189" s="6">
        <v>3</v>
      </c>
      <c r="F1189" s="24" t="s">
        <v>43</v>
      </c>
      <c r="G1189" s="24" t="s">
        <v>43</v>
      </c>
      <c r="H1189" s="24" t="s">
        <v>43</v>
      </c>
      <c r="I1189" s="24" t="s">
        <v>43</v>
      </c>
    </row>
    <row r="1190" spans="1:9" ht="40.799999999999997">
      <c r="A1190" s="21">
        <v>7</v>
      </c>
      <c r="B1190" s="21"/>
      <c r="C1190" s="12" t="s">
        <v>46</v>
      </c>
      <c r="D1190" s="10" t="s">
        <v>263</v>
      </c>
      <c r="E1190" s="6">
        <v>3</v>
      </c>
      <c r="F1190" s="24" t="s">
        <v>43</v>
      </c>
      <c r="G1190" s="24" t="s">
        <v>43</v>
      </c>
      <c r="H1190" s="24" t="s">
        <v>43</v>
      </c>
      <c r="I1190" s="24" t="s">
        <v>43</v>
      </c>
    </row>
    <row r="1191" spans="1:9" ht="40.799999999999997">
      <c r="A1191" s="21">
        <v>7</v>
      </c>
      <c r="B1191" s="21"/>
      <c r="C1191" s="12" t="s">
        <v>46</v>
      </c>
      <c r="D1191" s="10" t="s">
        <v>263</v>
      </c>
      <c r="E1191" s="6">
        <v>3</v>
      </c>
      <c r="F1191" s="24" t="s">
        <v>43</v>
      </c>
      <c r="G1191" s="24" t="s">
        <v>43</v>
      </c>
      <c r="H1191" s="24" t="s">
        <v>43</v>
      </c>
      <c r="I1191" s="24" t="s">
        <v>43</v>
      </c>
    </row>
    <row r="1192" spans="1:9" ht="40.799999999999997">
      <c r="A1192" s="21">
        <v>7</v>
      </c>
      <c r="B1192" s="21"/>
      <c r="C1192" s="12" t="s">
        <v>46</v>
      </c>
      <c r="D1192" s="10" t="s">
        <v>263</v>
      </c>
      <c r="E1192" s="6">
        <v>3</v>
      </c>
      <c r="F1192" s="24" t="s">
        <v>43</v>
      </c>
      <c r="G1192" s="24" t="s">
        <v>43</v>
      </c>
      <c r="H1192" s="24" t="s">
        <v>43</v>
      </c>
      <c r="I1192" s="24" t="s">
        <v>43</v>
      </c>
    </row>
    <row r="1193" spans="1:9" ht="40.799999999999997">
      <c r="A1193" s="21">
        <v>7</v>
      </c>
      <c r="B1193" s="21"/>
      <c r="C1193" s="12" t="s">
        <v>46</v>
      </c>
      <c r="D1193" s="10" t="s">
        <v>263</v>
      </c>
      <c r="E1193" s="6">
        <v>3</v>
      </c>
      <c r="F1193" s="24" t="s">
        <v>43</v>
      </c>
      <c r="G1193" s="24" t="s">
        <v>43</v>
      </c>
      <c r="H1193" s="24" t="s">
        <v>43</v>
      </c>
      <c r="I1193" s="24" t="s">
        <v>43</v>
      </c>
    </row>
    <row r="1194" spans="1:9" ht="40.799999999999997">
      <c r="A1194" s="21">
        <v>7</v>
      </c>
      <c r="B1194" s="21"/>
      <c r="C1194" s="12" t="s">
        <v>46</v>
      </c>
      <c r="D1194" s="10" t="s">
        <v>263</v>
      </c>
      <c r="E1194" s="6">
        <v>3</v>
      </c>
      <c r="F1194" s="24" t="s">
        <v>43</v>
      </c>
      <c r="G1194" s="24" t="s">
        <v>43</v>
      </c>
      <c r="H1194" s="24" t="s">
        <v>43</v>
      </c>
      <c r="I1194" s="24" t="s">
        <v>43</v>
      </c>
    </row>
    <row r="1195" spans="1:9" ht="40.799999999999997">
      <c r="A1195" s="21">
        <v>7</v>
      </c>
      <c r="B1195" s="21"/>
      <c r="C1195" s="12" t="s">
        <v>46</v>
      </c>
      <c r="D1195" s="10" t="s">
        <v>263</v>
      </c>
      <c r="E1195" s="6">
        <v>3</v>
      </c>
      <c r="F1195" s="24" t="s">
        <v>43</v>
      </c>
      <c r="G1195" s="24" t="s">
        <v>43</v>
      </c>
      <c r="H1195" s="24" t="s">
        <v>43</v>
      </c>
      <c r="I1195" s="24" t="s">
        <v>43</v>
      </c>
    </row>
    <row r="1196" spans="1:9" ht="40.799999999999997">
      <c r="A1196" s="21">
        <v>7</v>
      </c>
      <c r="B1196" s="21"/>
      <c r="C1196" s="12" t="s">
        <v>46</v>
      </c>
      <c r="D1196" s="10" t="s">
        <v>263</v>
      </c>
      <c r="E1196" s="6">
        <v>3</v>
      </c>
      <c r="F1196" s="24" t="s">
        <v>43</v>
      </c>
      <c r="G1196" s="24" t="s">
        <v>43</v>
      </c>
      <c r="H1196" s="24" t="s">
        <v>43</v>
      </c>
      <c r="I1196" s="24" t="s">
        <v>43</v>
      </c>
    </row>
    <row r="1197" spans="1:9" ht="40.799999999999997">
      <c r="A1197" s="21">
        <v>7</v>
      </c>
      <c r="B1197" s="21"/>
      <c r="C1197" s="12" t="s">
        <v>46</v>
      </c>
      <c r="D1197" s="10" t="s">
        <v>263</v>
      </c>
      <c r="E1197" s="6">
        <v>3</v>
      </c>
      <c r="F1197" s="24" t="s">
        <v>43</v>
      </c>
      <c r="G1197" s="24" t="s">
        <v>43</v>
      </c>
      <c r="H1197" s="24" t="s">
        <v>43</v>
      </c>
      <c r="I1197" s="24" t="s">
        <v>43</v>
      </c>
    </row>
    <row r="1198" spans="1:9" ht="40.799999999999997">
      <c r="A1198" s="21">
        <v>7</v>
      </c>
      <c r="B1198" s="21"/>
      <c r="C1198" s="12" t="s">
        <v>46</v>
      </c>
      <c r="D1198" s="10" t="s">
        <v>263</v>
      </c>
      <c r="E1198" s="6">
        <v>3</v>
      </c>
      <c r="F1198" s="24" t="s">
        <v>43</v>
      </c>
      <c r="G1198" s="24" t="s">
        <v>43</v>
      </c>
      <c r="H1198" s="24" t="s">
        <v>43</v>
      </c>
      <c r="I1198" s="24" t="s">
        <v>43</v>
      </c>
    </row>
    <row r="1199" spans="1:9" ht="40.799999999999997">
      <c r="A1199" s="21">
        <v>7</v>
      </c>
      <c r="B1199" s="21"/>
      <c r="C1199" s="12" t="s">
        <v>46</v>
      </c>
      <c r="D1199" s="10" t="s">
        <v>263</v>
      </c>
      <c r="E1199" s="6">
        <v>3</v>
      </c>
      <c r="F1199" s="24" t="s">
        <v>43</v>
      </c>
      <c r="G1199" s="24" t="s">
        <v>43</v>
      </c>
      <c r="H1199" s="24" t="s">
        <v>43</v>
      </c>
      <c r="I1199" s="24" t="s">
        <v>43</v>
      </c>
    </row>
    <row r="1200" spans="1:9" ht="40.799999999999997">
      <c r="A1200" s="21">
        <v>7</v>
      </c>
      <c r="B1200" s="21"/>
      <c r="C1200" s="12" t="s">
        <v>46</v>
      </c>
      <c r="D1200" s="10" t="s">
        <v>263</v>
      </c>
      <c r="E1200" s="6">
        <v>3</v>
      </c>
      <c r="F1200" s="24" t="s">
        <v>43</v>
      </c>
      <c r="G1200" s="24" t="s">
        <v>43</v>
      </c>
      <c r="H1200" s="24" t="s">
        <v>43</v>
      </c>
      <c r="I1200" s="24" t="s">
        <v>43</v>
      </c>
    </row>
    <row r="1201" spans="1:9" ht="40.799999999999997">
      <c r="A1201" s="21">
        <v>7</v>
      </c>
      <c r="B1201" s="21"/>
      <c r="C1201" s="12" t="s">
        <v>46</v>
      </c>
      <c r="D1201" s="10" t="s">
        <v>263</v>
      </c>
      <c r="E1201" s="6">
        <v>3</v>
      </c>
      <c r="F1201" s="24" t="s">
        <v>43</v>
      </c>
      <c r="G1201" s="24" t="s">
        <v>43</v>
      </c>
      <c r="H1201" s="24" t="s">
        <v>43</v>
      </c>
      <c r="I1201" s="24" t="s">
        <v>43</v>
      </c>
    </row>
    <row r="1202" spans="1:9" ht="40.799999999999997">
      <c r="A1202" s="21">
        <v>7</v>
      </c>
      <c r="B1202" s="21"/>
      <c r="C1202" s="12" t="s">
        <v>46</v>
      </c>
      <c r="D1202" s="10" t="s">
        <v>263</v>
      </c>
      <c r="E1202" s="6">
        <v>3</v>
      </c>
      <c r="F1202" s="24" t="s">
        <v>43</v>
      </c>
      <c r="G1202" s="24" t="s">
        <v>43</v>
      </c>
      <c r="H1202" s="24" t="s">
        <v>43</v>
      </c>
      <c r="I1202" s="24" t="s">
        <v>43</v>
      </c>
    </row>
    <row r="1203" spans="1:9" ht="40.799999999999997">
      <c r="A1203" s="21">
        <v>7</v>
      </c>
      <c r="B1203" s="21"/>
      <c r="C1203" s="12" t="s">
        <v>46</v>
      </c>
      <c r="D1203" s="10" t="s">
        <v>263</v>
      </c>
      <c r="E1203" s="6">
        <v>3</v>
      </c>
      <c r="F1203" s="24" t="s">
        <v>43</v>
      </c>
      <c r="G1203" s="24" t="s">
        <v>43</v>
      </c>
      <c r="H1203" s="24" t="s">
        <v>43</v>
      </c>
      <c r="I1203" s="24" t="s">
        <v>43</v>
      </c>
    </row>
    <row r="1204" spans="1:9" ht="40.799999999999997">
      <c r="A1204" s="21">
        <v>7</v>
      </c>
      <c r="B1204" s="21"/>
      <c r="C1204" s="12" t="s">
        <v>46</v>
      </c>
      <c r="D1204" s="10" t="s">
        <v>263</v>
      </c>
      <c r="E1204" s="6">
        <v>3</v>
      </c>
      <c r="F1204" s="24" t="s">
        <v>43</v>
      </c>
      <c r="G1204" s="24" t="s">
        <v>43</v>
      </c>
      <c r="H1204" s="24" t="s">
        <v>43</v>
      </c>
      <c r="I1204" s="24" t="s">
        <v>43</v>
      </c>
    </row>
    <row r="1205" spans="1:9" ht="40.799999999999997">
      <c r="A1205" s="21">
        <v>7</v>
      </c>
      <c r="B1205" s="21"/>
      <c r="C1205" s="12" t="s">
        <v>46</v>
      </c>
      <c r="D1205" s="10" t="s">
        <v>263</v>
      </c>
      <c r="E1205" s="6">
        <v>3</v>
      </c>
      <c r="F1205" s="24" t="s">
        <v>43</v>
      </c>
      <c r="G1205" s="24" t="s">
        <v>43</v>
      </c>
      <c r="H1205" s="24" t="s">
        <v>43</v>
      </c>
      <c r="I1205" s="24" t="s">
        <v>43</v>
      </c>
    </row>
    <row r="1206" spans="1:9" ht="40.799999999999997">
      <c r="A1206" s="21">
        <v>7</v>
      </c>
      <c r="B1206" s="21"/>
      <c r="C1206" s="12" t="s">
        <v>46</v>
      </c>
      <c r="D1206" s="10" t="s">
        <v>263</v>
      </c>
      <c r="E1206" s="6">
        <v>3</v>
      </c>
      <c r="F1206" s="24" t="s">
        <v>43</v>
      </c>
      <c r="G1206" s="24" t="s">
        <v>43</v>
      </c>
      <c r="H1206" s="24" t="s">
        <v>43</v>
      </c>
      <c r="I1206" s="24" t="s">
        <v>43</v>
      </c>
    </row>
    <row r="1207" spans="1:9" ht="40.799999999999997">
      <c r="A1207" s="21">
        <v>7</v>
      </c>
      <c r="B1207" s="21"/>
      <c r="C1207" s="12" t="s">
        <v>46</v>
      </c>
      <c r="D1207" s="10" t="s">
        <v>263</v>
      </c>
      <c r="E1207" s="6">
        <v>3</v>
      </c>
      <c r="F1207" s="24" t="s">
        <v>43</v>
      </c>
      <c r="G1207" s="24" t="s">
        <v>43</v>
      </c>
      <c r="H1207" s="24" t="s">
        <v>43</v>
      </c>
      <c r="I1207" s="24" t="s">
        <v>43</v>
      </c>
    </row>
    <row r="1208" spans="1:9" ht="40.799999999999997">
      <c r="A1208" s="21">
        <v>7</v>
      </c>
      <c r="B1208" s="21"/>
      <c r="C1208" s="12" t="s">
        <v>46</v>
      </c>
      <c r="D1208" s="10" t="s">
        <v>263</v>
      </c>
      <c r="E1208" s="6">
        <v>3</v>
      </c>
      <c r="F1208" s="24" t="s">
        <v>43</v>
      </c>
      <c r="G1208" s="24" t="s">
        <v>43</v>
      </c>
      <c r="H1208" s="24" t="s">
        <v>43</v>
      </c>
      <c r="I1208" s="24" t="s">
        <v>43</v>
      </c>
    </row>
    <row r="1209" spans="1:9" ht="40.799999999999997">
      <c r="A1209" s="21">
        <v>7</v>
      </c>
      <c r="B1209" s="21"/>
      <c r="C1209" s="12" t="s">
        <v>46</v>
      </c>
      <c r="D1209" s="10" t="s">
        <v>263</v>
      </c>
      <c r="E1209" s="6">
        <v>3</v>
      </c>
      <c r="F1209" s="24" t="s">
        <v>43</v>
      </c>
      <c r="G1209" s="24" t="s">
        <v>43</v>
      </c>
      <c r="H1209" s="24" t="s">
        <v>43</v>
      </c>
      <c r="I1209" s="24" t="s">
        <v>43</v>
      </c>
    </row>
    <row r="1210" spans="1:9" ht="40.799999999999997">
      <c r="A1210" s="21">
        <v>7</v>
      </c>
      <c r="B1210" s="21"/>
      <c r="C1210" s="12" t="s">
        <v>46</v>
      </c>
      <c r="D1210" s="10" t="s">
        <v>263</v>
      </c>
      <c r="E1210" s="6">
        <v>3</v>
      </c>
      <c r="F1210" s="24" t="s">
        <v>43</v>
      </c>
      <c r="G1210" s="24" t="s">
        <v>43</v>
      </c>
      <c r="H1210" s="24" t="s">
        <v>43</v>
      </c>
      <c r="I1210" s="24" t="s">
        <v>43</v>
      </c>
    </row>
    <row r="1211" spans="1:9" ht="40.799999999999997">
      <c r="A1211" s="21">
        <v>7</v>
      </c>
      <c r="B1211" s="21"/>
      <c r="C1211" s="12" t="s">
        <v>46</v>
      </c>
      <c r="D1211" s="10" t="s">
        <v>263</v>
      </c>
      <c r="E1211" s="6">
        <v>3</v>
      </c>
      <c r="F1211" s="24" t="s">
        <v>43</v>
      </c>
      <c r="G1211" s="24" t="s">
        <v>43</v>
      </c>
      <c r="H1211" s="24" t="s">
        <v>43</v>
      </c>
      <c r="I1211" s="24" t="s">
        <v>43</v>
      </c>
    </row>
    <row r="1212" spans="1:9" ht="40.799999999999997">
      <c r="A1212" s="21">
        <v>7</v>
      </c>
      <c r="B1212" s="21"/>
      <c r="C1212" s="12" t="s">
        <v>46</v>
      </c>
      <c r="D1212" s="10" t="s">
        <v>263</v>
      </c>
      <c r="E1212" s="6">
        <v>3</v>
      </c>
      <c r="F1212" s="24" t="s">
        <v>43</v>
      </c>
      <c r="G1212" s="24" t="s">
        <v>43</v>
      </c>
      <c r="H1212" s="24" t="s">
        <v>43</v>
      </c>
      <c r="I1212" s="24" t="s">
        <v>43</v>
      </c>
    </row>
    <row r="1213" spans="1:9" ht="40.799999999999997">
      <c r="A1213" s="21">
        <v>7</v>
      </c>
      <c r="B1213" s="21"/>
      <c r="C1213" s="12" t="s">
        <v>46</v>
      </c>
      <c r="D1213" s="10" t="s">
        <v>263</v>
      </c>
      <c r="E1213" s="6">
        <v>3</v>
      </c>
      <c r="F1213" s="24" t="s">
        <v>43</v>
      </c>
      <c r="G1213" s="24" t="s">
        <v>43</v>
      </c>
      <c r="H1213" s="24" t="s">
        <v>43</v>
      </c>
      <c r="I1213" s="24" t="s">
        <v>43</v>
      </c>
    </row>
    <row r="1214" spans="1:9" ht="40.799999999999997">
      <c r="A1214" s="21">
        <v>7</v>
      </c>
      <c r="B1214" s="21"/>
      <c r="C1214" s="12" t="s">
        <v>46</v>
      </c>
      <c r="D1214" s="10" t="s">
        <v>263</v>
      </c>
      <c r="E1214" s="6">
        <v>3</v>
      </c>
      <c r="F1214" s="24" t="s">
        <v>43</v>
      </c>
      <c r="G1214" s="24" t="s">
        <v>43</v>
      </c>
      <c r="H1214" s="24" t="s">
        <v>43</v>
      </c>
      <c r="I1214" s="24" t="s">
        <v>43</v>
      </c>
    </row>
    <row r="1215" spans="1:9" ht="40.799999999999997">
      <c r="A1215" s="21">
        <v>7</v>
      </c>
      <c r="B1215" s="21"/>
      <c r="C1215" s="12" t="s">
        <v>46</v>
      </c>
      <c r="D1215" s="10" t="s">
        <v>263</v>
      </c>
      <c r="E1215" s="6">
        <v>3</v>
      </c>
      <c r="F1215" s="24" t="s">
        <v>43</v>
      </c>
      <c r="G1215" s="24" t="s">
        <v>43</v>
      </c>
      <c r="H1215" s="24" t="s">
        <v>43</v>
      </c>
      <c r="I1215" s="24" t="s">
        <v>43</v>
      </c>
    </row>
    <row r="1216" spans="1:9" ht="40.799999999999997">
      <c r="A1216" s="21">
        <v>7</v>
      </c>
      <c r="B1216" s="21"/>
      <c r="C1216" s="12" t="s">
        <v>46</v>
      </c>
      <c r="D1216" s="10" t="s">
        <v>263</v>
      </c>
      <c r="E1216" s="6">
        <v>3</v>
      </c>
      <c r="F1216" s="24" t="s">
        <v>43</v>
      </c>
      <c r="G1216" s="24" t="s">
        <v>43</v>
      </c>
      <c r="H1216" s="24" t="s">
        <v>43</v>
      </c>
      <c r="I1216" s="24" t="s">
        <v>43</v>
      </c>
    </row>
    <row r="1217" spans="1:9" ht="40.799999999999997">
      <c r="A1217" s="21">
        <v>7</v>
      </c>
      <c r="B1217" s="21"/>
      <c r="C1217" s="12" t="s">
        <v>46</v>
      </c>
      <c r="D1217" s="10" t="s">
        <v>263</v>
      </c>
      <c r="E1217" s="6">
        <v>3</v>
      </c>
      <c r="F1217" s="24" t="s">
        <v>43</v>
      </c>
      <c r="G1217" s="24" t="s">
        <v>43</v>
      </c>
      <c r="H1217" s="24" t="s">
        <v>43</v>
      </c>
      <c r="I1217" s="24" t="s">
        <v>43</v>
      </c>
    </row>
    <row r="1218" spans="1:9" ht="40.799999999999997">
      <c r="A1218" s="21">
        <v>7</v>
      </c>
      <c r="B1218" s="21"/>
      <c r="C1218" s="12" t="s">
        <v>46</v>
      </c>
      <c r="D1218" s="10" t="s">
        <v>263</v>
      </c>
      <c r="E1218" s="6">
        <v>3</v>
      </c>
      <c r="F1218" s="24" t="s">
        <v>43</v>
      </c>
      <c r="G1218" s="24" t="s">
        <v>43</v>
      </c>
      <c r="H1218" s="24" t="s">
        <v>43</v>
      </c>
      <c r="I1218" s="24" t="s">
        <v>43</v>
      </c>
    </row>
    <row r="1219" spans="1:9" ht="40.799999999999997">
      <c r="A1219" s="21">
        <v>7</v>
      </c>
      <c r="B1219" s="21"/>
      <c r="C1219" s="12" t="s">
        <v>46</v>
      </c>
      <c r="D1219" s="10" t="s">
        <v>263</v>
      </c>
      <c r="E1219" s="6">
        <v>3</v>
      </c>
      <c r="F1219" s="24" t="s">
        <v>43</v>
      </c>
      <c r="G1219" s="24" t="s">
        <v>43</v>
      </c>
      <c r="H1219" s="24" t="s">
        <v>43</v>
      </c>
      <c r="I1219" s="24" t="s">
        <v>43</v>
      </c>
    </row>
    <row r="1220" spans="1:9" ht="40.799999999999997">
      <c r="A1220" s="21">
        <v>7</v>
      </c>
      <c r="B1220" s="21"/>
      <c r="C1220" s="12" t="s">
        <v>46</v>
      </c>
      <c r="D1220" s="10" t="s">
        <v>263</v>
      </c>
      <c r="E1220" s="6">
        <v>3</v>
      </c>
      <c r="F1220" s="24" t="s">
        <v>43</v>
      </c>
      <c r="G1220" s="24" t="s">
        <v>43</v>
      </c>
      <c r="H1220" s="24" t="s">
        <v>43</v>
      </c>
      <c r="I1220" s="24" t="s">
        <v>43</v>
      </c>
    </row>
    <row r="1221" spans="1:9" ht="40.799999999999997">
      <c r="A1221" s="21">
        <v>7</v>
      </c>
      <c r="B1221" s="21"/>
      <c r="C1221" s="12" t="s">
        <v>46</v>
      </c>
      <c r="D1221" s="10" t="s">
        <v>263</v>
      </c>
      <c r="E1221" s="6">
        <v>3</v>
      </c>
      <c r="F1221" s="24" t="s">
        <v>43</v>
      </c>
      <c r="G1221" s="24" t="s">
        <v>43</v>
      </c>
      <c r="H1221" s="24" t="s">
        <v>43</v>
      </c>
      <c r="I1221" s="24" t="s">
        <v>43</v>
      </c>
    </row>
    <row r="1222" spans="1:9" ht="40.799999999999997">
      <c r="A1222" s="21">
        <v>7</v>
      </c>
      <c r="B1222" s="21"/>
      <c r="C1222" s="12" t="s">
        <v>46</v>
      </c>
      <c r="D1222" s="10" t="s">
        <v>263</v>
      </c>
      <c r="E1222" s="6">
        <v>3</v>
      </c>
      <c r="F1222" s="24" t="s">
        <v>43</v>
      </c>
      <c r="G1222" s="24" t="s">
        <v>43</v>
      </c>
      <c r="H1222" s="24" t="s">
        <v>43</v>
      </c>
      <c r="I1222" s="24" t="s">
        <v>43</v>
      </c>
    </row>
    <row r="1223" spans="1:9" ht="40.799999999999997">
      <c r="A1223" s="21">
        <v>7</v>
      </c>
      <c r="B1223" s="21"/>
      <c r="C1223" s="12" t="s">
        <v>46</v>
      </c>
      <c r="D1223" s="10" t="s">
        <v>263</v>
      </c>
      <c r="E1223" s="6">
        <v>3</v>
      </c>
      <c r="F1223" s="24" t="s">
        <v>43</v>
      </c>
      <c r="G1223" s="24" t="s">
        <v>43</v>
      </c>
      <c r="H1223" s="24" t="s">
        <v>43</v>
      </c>
      <c r="I1223" s="24" t="s">
        <v>43</v>
      </c>
    </row>
    <row r="1224" spans="1:9" ht="40.799999999999997">
      <c r="A1224" s="21">
        <v>7</v>
      </c>
      <c r="B1224" s="21"/>
      <c r="C1224" s="12" t="s">
        <v>46</v>
      </c>
      <c r="D1224" s="10" t="s">
        <v>263</v>
      </c>
      <c r="E1224" s="6">
        <v>3</v>
      </c>
      <c r="F1224" s="24" t="s">
        <v>43</v>
      </c>
      <c r="G1224" s="24" t="s">
        <v>43</v>
      </c>
      <c r="H1224" s="24" t="s">
        <v>43</v>
      </c>
      <c r="I1224" s="24" t="s">
        <v>43</v>
      </c>
    </row>
    <row r="1225" spans="1:9" ht="40.799999999999997">
      <c r="A1225" s="21">
        <v>7</v>
      </c>
      <c r="B1225" s="21"/>
      <c r="C1225" s="12" t="s">
        <v>46</v>
      </c>
      <c r="D1225" s="10" t="s">
        <v>263</v>
      </c>
      <c r="E1225" s="6">
        <v>3</v>
      </c>
      <c r="F1225" s="24" t="s">
        <v>43</v>
      </c>
      <c r="G1225" s="24" t="s">
        <v>43</v>
      </c>
      <c r="H1225" s="24" t="s">
        <v>43</v>
      </c>
      <c r="I1225" s="24" t="s">
        <v>43</v>
      </c>
    </row>
    <row r="1226" spans="1:9" ht="40.799999999999997">
      <c r="A1226" s="21">
        <v>7</v>
      </c>
      <c r="B1226" s="21"/>
      <c r="C1226" s="12" t="s">
        <v>46</v>
      </c>
      <c r="D1226" s="10" t="s">
        <v>263</v>
      </c>
      <c r="E1226" s="6">
        <v>3</v>
      </c>
      <c r="F1226" s="24" t="s">
        <v>43</v>
      </c>
      <c r="G1226" s="24" t="s">
        <v>43</v>
      </c>
      <c r="H1226" s="24" t="s">
        <v>43</v>
      </c>
      <c r="I1226" s="24" t="s">
        <v>43</v>
      </c>
    </row>
    <row r="1227" spans="1:9" ht="40.799999999999997">
      <c r="A1227" s="21">
        <v>7</v>
      </c>
      <c r="B1227" s="21"/>
      <c r="C1227" s="12" t="s">
        <v>46</v>
      </c>
      <c r="D1227" s="10" t="s">
        <v>263</v>
      </c>
      <c r="E1227" s="6">
        <v>3</v>
      </c>
      <c r="F1227" s="24" t="s">
        <v>43</v>
      </c>
      <c r="G1227" s="24" t="s">
        <v>43</v>
      </c>
      <c r="H1227" s="24" t="s">
        <v>43</v>
      </c>
      <c r="I1227" s="24" t="s">
        <v>43</v>
      </c>
    </row>
    <row r="1228" spans="1:9" ht="40.799999999999997">
      <c r="A1228" s="21">
        <v>7</v>
      </c>
      <c r="B1228" s="21"/>
      <c r="C1228" s="12" t="s">
        <v>46</v>
      </c>
      <c r="D1228" s="10" t="s">
        <v>263</v>
      </c>
      <c r="E1228" s="6">
        <v>3</v>
      </c>
      <c r="F1228" s="24" t="s">
        <v>43</v>
      </c>
      <c r="G1228" s="24" t="s">
        <v>43</v>
      </c>
      <c r="H1228" s="24" t="s">
        <v>43</v>
      </c>
      <c r="I1228" s="24" t="s">
        <v>43</v>
      </c>
    </row>
    <row r="1229" spans="1:9" ht="40.799999999999997">
      <c r="A1229" s="21">
        <v>7</v>
      </c>
      <c r="B1229" s="21"/>
      <c r="C1229" s="12" t="s">
        <v>46</v>
      </c>
      <c r="D1229" s="10" t="s">
        <v>263</v>
      </c>
      <c r="E1229" s="6">
        <v>3</v>
      </c>
      <c r="F1229" s="24" t="s">
        <v>43</v>
      </c>
      <c r="G1229" s="24" t="s">
        <v>43</v>
      </c>
      <c r="H1229" s="24" t="s">
        <v>43</v>
      </c>
      <c r="I1229" s="24" t="s">
        <v>43</v>
      </c>
    </row>
    <row r="1230" spans="1:9" ht="40.799999999999997">
      <c r="A1230" s="21">
        <v>7</v>
      </c>
      <c r="B1230" s="21"/>
      <c r="C1230" s="12" t="s">
        <v>46</v>
      </c>
      <c r="D1230" s="10" t="s">
        <v>263</v>
      </c>
      <c r="E1230" s="6">
        <v>3</v>
      </c>
      <c r="F1230" s="24" t="s">
        <v>43</v>
      </c>
      <c r="G1230" s="24" t="s">
        <v>43</v>
      </c>
      <c r="H1230" s="24" t="s">
        <v>43</v>
      </c>
      <c r="I1230" s="24" t="s">
        <v>43</v>
      </c>
    </row>
    <row r="1231" spans="1:9" ht="40.799999999999997">
      <c r="A1231" s="21">
        <v>7</v>
      </c>
      <c r="B1231" s="21"/>
      <c r="C1231" s="12" t="s">
        <v>46</v>
      </c>
      <c r="D1231" s="10" t="s">
        <v>263</v>
      </c>
      <c r="E1231" s="6">
        <v>3</v>
      </c>
      <c r="F1231" s="24" t="s">
        <v>43</v>
      </c>
      <c r="G1231" s="24" t="s">
        <v>43</v>
      </c>
      <c r="H1231" s="24" t="s">
        <v>43</v>
      </c>
      <c r="I1231" s="24" t="s">
        <v>43</v>
      </c>
    </row>
    <row r="1232" spans="1:9" ht="40.799999999999997">
      <c r="A1232" s="21">
        <v>7</v>
      </c>
      <c r="B1232" s="21"/>
      <c r="C1232" s="12" t="s">
        <v>46</v>
      </c>
      <c r="D1232" s="10" t="s">
        <v>263</v>
      </c>
      <c r="E1232" s="6">
        <v>3</v>
      </c>
      <c r="F1232" s="24" t="s">
        <v>43</v>
      </c>
      <c r="G1232" s="24" t="s">
        <v>43</v>
      </c>
      <c r="H1232" s="24" t="s">
        <v>43</v>
      </c>
      <c r="I1232" s="24" t="s">
        <v>43</v>
      </c>
    </row>
    <row r="1233" spans="1:9" ht="40.799999999999997">
      <c r="A1233" s="21">
        <v>7</v>
      </c>
      <c r="B1233" s="21"/>
      <c r="C1233" s="12" t="s">
        <v>46</v>
      </c>
      <c r="D1233" s="10" t="s">
        <v>263</v>
      </c>
      <c r="E1233" s="6">
        <v>3</v>
      </c>
      <c r="F1233" s="24" t="s">
        <v>43</v>
      </c>
      <c r="G1233" s="24" t="s">
        <v>43</v>
      </c>
      <c r="H1233" s="24" t="s">
        <v>43</v>
      </c>
      <c r="I1233" s="24" t="s">
        <v>43</v>
      </c>
    </row>
    <row r="1234" spans="1:9" ht="40.799999999999997">
      <c r="A1234" s="21">
        <v>7</v>
      </c>
      <c r="B1234" s="21"/>
      <c r="C1234" s="12" t="s">
        <v>46</v>
      </c>
      <c r="D1234" s="10" t="s">
        <v>263</v>
      </c>
      <c r="E1234" s="6">
        <v>3</v>
      </c>
      <c r="F1234" s="24" t="s">
        <v>43</v>
      </c>
      <c r="G1234" s="24" t="s">
        <v>43</v>
      </c>
      <c r="H1234" s="24" t="s">
        <v>43</v>
      </c>
      <c r="I1234" s="24" t="s">
        <v>43</v>
      </c>
    </row>
    <row r="1235" spans="1:9" ht="40.799999999999997">
      <c r="A1235" s="21">
        <v>7</v>
      </c>
      <c r="B1235" s="21"/>
      <c r="C1235" s="12" t="s">
        <v>46</v>
      </c>
      <c r="D1235" s="10" t="s">
        <v>263</v>
      </c>
      <c r="E1235" s="6">
        <v>3</v>
      </c>
      <c r="F1235" s="24" t="s">
        <v>43</v>
      </c>
      <c r="G1235" s="24" t="s">
        <v>43</v>
      </c>
      <c r="H1235" s="24" t="s">
        <v>43</v>
      </c>
      <c r="I1235" s="24" t="s">
        <v>43</v>
      </c>
    </row>
    <row r="1236" spans="1:9" ht="40.799999999999997">
      <c r="A1236" s="21">
        <v>7</v>
      </c>
      <c r="B1236" s="21"/>
      <c r="C1236" s="12" t="s">
        <v>46</v>
      </c>
      <c r="D1236" s="10" t="s">
        <v>263</v>
      </c>
      <c r="E1236" s="6">
        <v>3</v>
      </c>
      <c r="F1236" s="24" t="s">
        <v>43</v>
      </c>
      <c r="G1236" s="24" t="s">
        <v>43</v>
      </c>
      <c r="H1236" s="24" t="s">
        <v>43</v>
      </c>
      <c r="I1236" s="24" t="s">
        <v>43</v>
      </c>
    </row>
    <row r="1237" spans="1:9" ht="40.799999999999997">
      <c r="A1237" s="21">
        <v>7</v>
      </c>
      <c r="B1237" s="21"/>
      <c r="C1237" s="12" t="s">
        <v>46</v>
      </c>
      <c r="D1237" s="10" t="s">
        <v>263</v>
      </c>
      <c r="E1237" s="6">
        <v>3</v>
      </c>
      <c r="F1237" s="24" t="s">
        <v>43</v>
      </c>
      <c r="G1237" s="24" t="s">
        <v>43</v>
      </c>
      <c r="H1237" s="24" t="s">
        <v>43</v>
      </c>
      <c r="I1237" s="24" t="s">
        <v>43</v>
      </c>
    </row>
    <row r="1238" spans="1:9" ht="40.799999999999997">
      <c r="A1238" s="21">
        <v>7</v>
      </c>
      <c r="B1238" s="21"/>
      <c r="C1238" s="12" t="s">
        <v>46</v>
      </c>
      <c r="D1238" s="10" t="s">
        <v>263</v>
      </c>
      <c r="E1238" s="6">
        <v>3</v>
      </c>
      <c r="F1238" s="24" t="s">
        <v>43</v>
      </c>
      <c r="G1238" s="24" t="s">
        <v>43</v>
      </c>
      <c r="H1238" s="24" t="s">
        <v>43</v>
      </c>
      <c r="I1238" s="24" t="s">
        <v>43</v>
      </c>
    </row>
    <row r="1239" spans="1:9" ht="40.799999999999997">
      <c r="A1239" s="21">
        <v>7</v>
      </c>
      <c r="B1239" s="21"/>
      <c r="C1239" s="12" t="s">
        <v>46</v>
      </c>
      <c r="D1239" s="10" t="s">
        <v>263</v>
      </c>
      <c r="E1239" s="6">
        <v>3</v>
      </c>
      <c r="F1239" s="24" t="s">
        <v>43</v>
      </c>
      <c r="G1239" s="24" t="s">
        <v>43</v>
      </c>
      <c r="H1239" s="24" t="s">
        <v>43</v>
      </c>
      <c r="I1239" s="24" t="s">
        <v>43</v>
      </c>
    </row>
    <row r="1240" spans="1:9" ht="40.799999999999997">
      <c r="A1240" s="21">
        <v>7</v>
      </c>
      <c r="B1240" s="21"/>
      <c r="C1240" s="12" t="s">
        <v>46</v>
      </c>
      <c r="D1240" s="10" t="s">
        <v>263</v>
      </c>
      <c r="E1240" s="6">
        <v>3</v>
      </c>
      <c r="F1240" s="24" t="s">
        <v>43</v>
      </c>
      <c r="G1240" s="24" t="s">
        <v>43</v>
      </c>
      <c r="H1240" s="24" t="s">
        <v>43</v>
      </c>
      <c r="I1240" s="24" t="s">
        <v>43</v>
      </c>
    </row>
    <row r="1241" spans="1:9" ht="40.799999999999997">
      <c r="A1241" s="21">
        <v>7</v>
      </c>
      <c r="B1241" s="21"/>
      <c r="C1241" s="12" t="s">
        <v>46</v>
      </c>
      <c r="D1241" s="10" t="s">
        <v>263</v>
      </c>
      <c r="E1241" s="6">
        <v>3</v>
      </c>
      <c r="F1241" s="24" t="s">
        <v>43</v>
      </c>
      <c r="G1241" s="24" t="s">
        <v>43</v>
      </c>
      <c r="H1241" s="24" t="s">
        <v>43</v>
      </c>
      <c r="I1241" s="24" t="s">
        <v>43</v>
      </c>
    </row>
    <row r="1242" spans="1:9" ht="40.799999999999997">
      <c r="A1242" s="21">
        <v>7</v>
      </c>
      <c r="B1242" s="21"/>
      <c r="C1242" s="12" t="s">
        <v>46</v>
      </c>
      <c r="D1242" s="10" t="s">
        <v>263</v>
      </c>
      <c r="E1242" s="6">
        <v>3</v>
      </c>
      <c r="F1242" s="24" t="s">
        <v>43</v>
      </c>
      <c r="G1242" s="24" t="s">
        <v>43</v>
      </c>
      <c r="H1242" s="24" t="s">
        <v>43</v>
      </c>
      <c r="I1242" s="24" t="s">
        <v>43</v>
      </c>
    </row>
    <row r="1243" spans="1:9" ht="40.799999999999997">
      <c r="A1243" s="21">
        <v>7</v>
      </c>
      <c r="B1243" s="21"/>
      <c r="C1243" s="12" t="s">
        <v>46</v>
      </c>
      <c r="D1243" s="10" t="s">
        <v>263</v>
      </c>
      <c r="E1243" s="6">
        <v>3</v>
      </c>
      <c r="F1243" s="24" t="s">
        <v>43</v>
      </c>
      <c r="G1243" s="24" t="s">
        <v>43</v>
      </c>
      <c r="H1243" s="24" t="s">
        <v>43</v>
      </c>
      <c r="I1243" s="24" t="s">
        <v>43</v>
      </c>
    </row>
    <row r="1244" spans="1:9" ht="40.799999999999997">
      <c r="A1244" s="21">
        <v>7</v>
      </c>
      <c r="B1244" s="21"/>
      <c r="C1244" s="12" t="s">
        <v>46</v>
      </c>
      <c r="D1244" s="10" t="s">
        <v>263</v>
      </c>
      <c r="E1244" s="6">
        <v>3</v>
      </c>
      <c r="F1244" s="24" t="s">
        <v>43</v>
      </c>
      <c r="G1244" s="24" t="s">
        <v>43</v>
      </c>
      <c r="H1244" s="24" t="s">
        <v>43</v>
      </c>
      <c r="I1244" s="24" t="s">
        <v>43</v>
      </c>
    </row>
    <row r="1245" spans="1:9" ht="40.799999999999997">
      <c r="A1245" s="21">
        <v>7</v>
      </c>
      <c r="B1245" s="21"/>
      <c r="C1245" s="12" t="s">
        <v>46</v>
      </c>
      <c r="D1245" s="10" t="s">
        <v>263</v>
      </c>
      <c r="E1245" s="6">
        <v>3</v>
      </c>
      <c r="F1245" s="24" t="s">
        <v>43</v>
      </c>
      <c r="G1245" s="24" t="s">
        <v>43</v>
      </c>
      <c r="H1245" s="24" t="s">
        <v>43</v>
      </c>
      <c r="I1245" s="24" t="s">
        <v>43</v>
      </c>
    </row>
    <row r="1246" spans="1:9" ht="40.799999999999997">
      <c r="A1246" s="21">
        <v>7</v>
      </c>
      <c r="B1246" s="21"/>
      <c r="C1246" s="12" t="s">
        <v>46</v>
      </c>
      <c r="D1246" s="10" t="s">
        <v>263</v>
      </c>
      <c r="E1246" s="6">
        <v>3</v>
      </c>
      <c r="F1246" s="24" t="s">
        <v>43</v>
      </c>
      <c r="G1246" s="24" t="s">
        <v>43</v>
      </c>
      <c r="H1246" s="24" t="s">
        <v>43</v>
      </c>
      <c r="I1246" s="24" t="s">
        <v>43</v>
      </c>
    </row>
    <row r="1247" spans="1:9" ht="40.799999999999997">
      <c r="A1247" s="21">
        <v>7</v>
      </c>
      <c r="B1247" s="21"/>
      <c r="C1247" s="12" t="s">
        <v>46</v>
      </c>
      <c r="D1247" s="10" t="s">
        <v>263</v>
      </c>
      <c r="E1247" s="6">
        <v>3</v>
      </c>
      <c r="F1247" s="24" t="s">
        <v>43</v>
      </c>
      <c r="G1247" s="24" t="s">
        <v>43</v>
      </c>
      <c r="H1247" s="24" t="s">
        <v>43</v>
      </c>
      <c r="I1247" s="24" t="s">
        <v>43</v>
      </c>
    </row>
    <row r="1248" spans="1:9" ht="40.799999999999997">
      <c r="A1248" s="21">
        <v>7</v>
      </c>
      <c r="B1248" s="21"/>
      <c r="C1248" s="12" t="s">
        <v>46</v>
      </c>
      <c r="D1248" s="10" t="s">
        <v>263</v>
      </c>
      <c r="E1248" s="6">
        <v>3</v>
      </c>
      <c r="F1248" s="24" t="s">
        <v>43</v>
      </c>
      <c r="G1248" s="24" t="s">
        <v>43</v>
      </c>
      <c r="H1248" s="24" t="s">
        <v>43</v>
      </c>
      <c r="I1248" s="24" t="s">
        <v>43</v>
      </c>
    </row>
    <row r="1249" spans="1:9" ht="40.799999999999997">
      <c r="A1249" s="21">
        <v>7</v>
      </c>
      <c r="B1249" s="21"/>
      <c r="C1249" s="12" t="s">
        <v>46</v>
      </c>
      <c r="D1249" s="10" t="s">
        <v>263</v>
      </c>
      <c r="E1249" s="6">
        <v>3</v>
      </c>
      <c r="F1249" s="24" t="s">
        <v>43</v>
      </c>
      <c r="G1249" s="24" t="s">
        <v>43</v>
      </c>
      <c r="H1249" s="24" t="s">
        <v>43</v>
      </c>
      <c r="I1249" s="24" t="s">
        <v>43</v>
      </c>
    </row>
    <row r="1250" spans="1:9" ht="40.799999999999997">
      <c r="A1250" s="21">
        <v>7</v>
      </c>
      <c r="B1250" s="21"/>
      <c r="C1250" s="12" t="s">
        <v>46</v>
      </c>
      <c r="D1250" s="10" t="s">
        <v>263</v>
      </c>
      <c r="E1250" s="6">
        <v>3</v>
      </c>
      <c r="F1250" s="24" t="s">
        <v>43</v>
      </c>
      <c r="G1250" s="24" t="s">
        <v>43</v>
      </c>
      <c r="H1250" s="24" t="s">
        <v>43</v>
      </c>
      <c r="I1250" s="24" t="s">
        <v>43</v>
      </c>
    </row>
    <row r="1251" spans="1:9" ht="40.799999999999997">
      <c r="A1251" s="21">
        <v>7</v>
      </c>
      <c r="B1251" s="21"/>
      <c r="C1251" s="12" t="s">
        <v>46</v>
      </c>
      <c r="D1251" s="10" t="s">
        <v>263</v>
      </c>
      <c r="E1251" s="6">
        <v>3</v>
      </c>
      <c r="F1251" s="24" t="s">
        <v>43</v>
      </c>
      <c r="G1251" s="24" t="s">
        <v>43</v>
      </c>
      <c r="H1251" s="24" t="s">
        <v>43</v>
      </c>
      <c r="I1251" s="24" t="s">
        <v>43</v>
      </c>
    </row>
    <row r="1252" spans="1:9" ht="40.799999999999997">
      <c r="A1252" s="21">
        <v>7</v>
      </c>
      <c r="B1252" s="21"/>
      <c r="C1252" s="12" t="s">
        <v>46</v>
      </c>
      <c r="D1252" s="10" t="s">
        <v>263</v>
      </c>
      <c r="E1252" s="6">
        <v>3</v>
      </c>
      <c r="F1252" s="24" t="s">
        <v>43</v>
      </c>
      <c r="G1252" s="24" t="s">
        <v>43</v>
      </c>
      <c r="H1252" s="24" t="s">
        <v>43</v>
      </c>
      <c r="I1252" s="24" t="s">
        <v>43</v>
      </c>
    </row>
    <row r="1253" spans="1:9" ht="40.799999999999997">
      <c r="A1253" s="21">
        <v>7</v>
      </c>
      <c r="B1253" s="21"/>
      <c r="C1253" s="12" t="s">
        <v>46</v>
      </c>
      <c r="D1253" s="10" t="s">
        <v>263</v>
      </c>
      <c r="E1253" s="6">
        <v>3</v>
      </c>
      <c r="F1253" s="24" t="s">
        <v>43</v>
      </c>
      <c r="G1253" s="24" t="s">
        <v>43</v>
      </c>
      <c r="H1253" s="24" t="s">
        <v>43</v>
      </c>
      <c r="I1253" s="24" t="s">
        <v>43</v>
      </c>
    </row>
    <row r="1254" spans="1:9" ht="40.799999999999997">
      <c r="A1254" s="21">
        <v>7</v>
      </c>
      <c r="B1254" s="21"/>
      <c r="C1254" s="12" t="s">
        <v>46</v>
      </c>
      <c r="D1254" s="10" t="s">
        <v>263</v>
      </c>
      <c r="E1254" s="6">
        <v>3</v>
      </c>
      <c r="F1254" s="24" t="s">
        <v>43</v>
      </c>
      <c r="G1254" s="24" t="s">
        <v>43</v>
      </c>
      <c r="H1254" s="24" t="s">
        <v>43</v>
      </c>
      <c r="I1254" s="24" t="s">
        <v>43</v>
      </c>
    </row>
    <row r="1255" spans="1:9" ht="40.799999999999997">
      <c r="A1255" s="21">
        <v>7</v>
      </c>
      <c r="B1255" s="21"/>
      <c r="C1255" s="12" t="s">
        <v>46</v>
      </c>
      <c r="D1255" s="10" t="s">
        <v>263</v>
      </c>
      <c r="E1255" s="6">
        <v>3</v>
      </c>
      <c r="F1255" s="24" t="s">
        <v>43</v>
      </c>
      <c r="G1255" s="24" t="s">
        <v>43</v>
      </c>
      <c r="H1255" s="24" t="s">
        <v>43</v>
      </c>
      <c r="I1255" s="24" t="s">
        <v>43</v>
      </c>
    </row>
    <row r="1256" spans="1:9" ht="40.799999999999997">
      <c r="A1256" s="21">
        <v>7</v>
      </c>
      <c r="B1256" s="21"/>
      <c r="C1256" s="12" t="s">
        <v>46</v>
      </c>
      <c r="D1256" s="10" t="s">
        <v>263</v>
      </c>
      <c r="E1256" s="6">
        <v>3</v>
      </c>
      <c r="F1256" s="24" t="s">
        <v>43</v>
      </c>
      <c r="G1256" s="24" t="s">
        <v>43</v>
      </c>
      <c r="H1256" s="24" t="s">
        <v>43</v>
      </c>
      <c r="I1256" s="24" t="s">
        <v>43</v>
      </c>
    </row>
    <row r="1257" spans="1:9" ht="40.799999999999997">
      <c r="A1257" s="21">
        <v>7</v>
      </c>
      <c r="B1257" s="21"/>
      <c r="C1257" s="12" t="s">
        <v>46</v>
      </c>
      <c r="D1257" s="10" t="s">
        <v>263</v>
      </c>
      <c r="E1257" s="6">
        <v>3</v>
      </c>
      <c r="F1257" s="24" t="s">
        <v>43</v>
      </c>
      <c r="G1257" s="24" t="s">
        <v>43</v>
      </c>
      <c r="H1257" s="24" t="s">
        <v>43</v>
      </c>
      <c r="I1257" s="24" t="s">
        <v>43</v>
      </c>
    </row>
    <row r="1258" spans="1:9" ht="40.799999999999997">
      <c r="A1258" s="21">
        <v>7</v>
      </c>
      <c r="B1258" s="21"/>
      <c r="C1258" s="12" t="s">
        <v>46</v>
      </c>
      <c r="D1258" s="10" t="s">
        <v>263</v>
      </c>
      <c r="E1258" s="6">
        <v>3</v>
      </c>
      <c r="F1258" s="24" t="s">
        <v>43</v>
      </c>
      <c r="G1258" s="24" t="s">
        <v>43</v>
      </c>
      <c r="H1258" s="24" t="s">
        <v>43</v>
      </c>
      <c r="I1258" s="24" t="s">
        <v>43</v>
      </c>
    </row>
    <row r="1259" spans="1:9" ht="40.799999999999997">
      <c r="A1259" s="21">
        <v>7</v>
      </c>
      <c r="B1259" s="21"/>
      <c r="C1259" s="12" t="s">
        <v>46</v>
      </c>
      <c r="D1259" s="10" t="s">
        <v>263</v>
      </c>
      <c r="E1259" s="6">
        <v>3</v>
      </c>
      <c r="F1259" s="24" t="s">
        <v>43</v>
      </c>
      <c r="G1259" s="24" t="s">
        <v>43</v>
      </c>
      <c r="H1259" s="24" t="s">
        <v>43</v>
      </c>
      <c r="I1259" s="24" t="s">
        <v>43</v>
      </c>
    </row>
    <row r="1260" spans="1:9" ht="40.799999999999997">
      <c r="A1260" s="21">
        <v>7</v>
      </c>
      <c r="B1260" s="21"/>
      <c r="C1260" s="12" t="s">
        <v>46</v>
      </c>
      <c r="D1260" s="10" t="s">
        <v>263</v>
      </c>
      <c r="E1260" s="6">
        <v>3</v>
      </c>
      <c r="F1260" s="24" t="s">
        <v>43</v>
      </c>
      <c r="G1260" s="24" t="s">
        <v>43</v>
      </c>
      <c r="H1260" s="24" t="s">
        <v>43</v>
      </c>
      <c r="I1260" s="24" t="s">
        <v>43</v>
      </c>
    </row>
    <row r="1261" spans="1:9" ht="40.799999999999997">
      <c r="A1261" s="21">
        <v>7</v>
      </c>
      <c r="B1261" s="21"/>
      <c r="C1261" s="12" t="s">
        <v>46</v>
      </c>
      <c r="D1261" s="10" t="s">
        <v>263</v>
      </c>
      <c r="E1261" s="6">
        <v>3</v>
      </c>
      <c r="F1261" s="24" t="s">
        <v>43</v>
      </c>
      <c r="G1261" s="24" t="s">
        <v>43</v>
      </c>
      <c r="H1261" s="24" t="s">
        <v>43</v>
      </c>
      <c r="I1261" s="24" t="s">
        <v>43</v>
      </c>
    </row>
    <row r="1262" spans="1:9" ht="40.799999999999997">
      <c r="A1262" s="21">
        <v>7</v>
      </c>
      <c r="B1262" s="21"/>
      <c r="C1262" s="12" t="s">
        <v>46</v>
      </c>
      <c r="D1262" s="10" t="s">
        <v>263</v>
      </c>
      <c r="E1262" s="6">
        <v>3</v>
      </c>
      <c r="F1262" s="24" t="s">
        <v>43</v>
      </c>
      <c r="G1262" s="24" t="s">
        <v>43</v>
      </c>
      <c r="H1262" s="24" t="s">
        <v>43</v>
      </c>
      <c r="I1262" s="24" t="s">
        <v>43</v>
      </c>
    </row>
    <row r="1263" spans="1:9" ht="40.799999999999997">
      <c r="A1263" s="21">
        <v>7</v>
      </c>
      <c r="B1263" s="21"/>
      <c r="C1263" s="12" t="s">
        <v>46</v>
      </c>
      <c r="D1263" s="10" t="s">
        <v>263</v>
      </c>
      <c r="E1263" s="6">
        <v>3</v>
      </c>
      <c r="F1263" s="24" t="s">
        <v>43</v>
      </c>
      <c r="G1263" s="24" t="s">
        <v>43</v>
      </c>
      <c r="H1263" s="24" t="s">
        <v>43</v>
      </c>
      <c r="I1263" s="24" t="s">
        <v>43</v>
      </c>
    </row>
    <row r="1264" spans="1:9" ht="40.799999999999997">
      <c r="A1264" s="21">
        <v>7</v>
      </c>
      <c r="B1264" s="21"/>
      <c r="C1264" s="12" t="s">
        <v>46</v>
      </c>
      <c r="D1264" s="10" t="s">
        <v>263</v>
      </c>
      <c r="E1264" s="6">
        <v>3</v>
      </c>
      <c r="F1264" s="24" t="s">
        <v>43</v>
      </c>
      <c r="G1264" s="24" t="s">
        <v>43</v>
      </c>
      <c r="H1264" s="24" t="s">
        <v>43</v>
      </c>
      <c r="I1264" s="24" t="s">
        <v>43</v>
      </c>
    </row>
    <row r="1265" spans="1:9" ht="40.799999999999997">
      <c r="A1265" s="21">
        <v>7</v>
      </c>
      <c r="B1265" s="21"/>
      <c r="C1265" s="12" t="s">
        <v>46</v>
      </c>
      <c r="D1265" s="10" t="s">
        <v>263</v>
      </c>
      <c r="E1265" s="6">
        <v>3</v>
      </c>
      <c r="F1265" s="24" t="s">
        <v>43</v>
      </c>
      <c r="G1265" s="24" t="s">
        <v>43</v>
      </c>
      <c r="H1265" s="24" t="s">
        <v>43</v>
      </c>
      <c r="I1265" s="24" t="s">
        <v>43</v>
      </c>
    </row>
    <row r="1266" spans="1:9" ht="40.799999999999997">
      <c r="A1266" s="21">
        <v>7</v>
      </c>
      <c r="B1266" s="21"/>
      <c r="C1266" s="12" t="s">
        <v>46</v>
      </c>
      <c r="D1266" s="10" t="s">
        <v>263</v>
      </c>
      <c r="E1266" s="6">
        <v>3</v>
      </c>
      <c r="F1266" s="24" t="s">
        <v>43</v>
      </c>
      <c r="G1266" s="24" t="s">
        <v>43</v>
      </c>
      <c r="H1266" s="24" t="s">
        <v>43</v>
      </c>
      <c r="I1266" s="24" t="s">
        <v>43</v>
      </c>
    </row>
    <row r="1267" spans="1:9" ht="40.799999999999997">
      <c r="A1267" s="21">
        <v>7</v>
      </c>
      <c r="B1267" s="21"/>
      <c r="C1267" s="12" t="s">
        <v>46</v>
      </c>
      <c r="D1267" s="10" t="s">
        <v>263</v>
      </c>
      <c r="E1267" s="6">
        <v>3</v>
      </c>
      <c r="F1267" s="24" t="s">
        <v>43</v>
      </c>
      <c r="G1267" s="24" t="s">
        <v>43</v>
      </c>
      <c r="H1267" s="24" t="s">
        <v>43</v>
      </c>
      <c r="I1267" s="24" t="s">
        <v>43</v>
      </c>
    </row>
    <row r="1268" spans="1:9" ht="40.799999999999997">
      <c r="A1268" s="21">
        <v>7</v>
      </c>
      <c r="B1268" s="21"/>
      <c r="C1268" s="12" t="s">
        <v>46</v>
      </c>
      <c r="D1268" s="10" t="s">
        <v>263</v>
      </c>
      <c r="E1268" s="6">
        <v>3</v>
      </c>
      <c r="F1268" s="24" t="s">
        <v>43</v>
      </c>
      <c r="G1268" s="24" t="s">
        <v>43</v>
      </c>
      <c r="H1268" s="24" t="s">
        <v>43</v>
      </c>
      <c r="I1268" s="24" t="s">
        <v>43</v>
      </c>
    </row>
    <row r="1269" spans="1:9" ht="40.799999999999997">
      <c r="A1269" s="21">
        <v>7</v>
      </c>
      <c r="B1269" s="21"/>
      <c r="C1269" s="12" t="s">
        <v>46</v>
      </c>
      <c r="D1269" s="10" t="s">
        <v>263</v>
      </c>
      <c r="E1269" s="6">
        <v>3</v>
      </c>
      <c r="F1269" s="24" t="s">
        <v>43</v>
      </c>
      <c r="G1269" s="24" t="s">
        <v>43</v>
      </c>
      <c r="H1269" s="24" t="s">
        <v>43</v>
      </c>
      <c r="I1269" s="24" t="s">
        <v>43</v>
      </c>
    </row>
    <row r="1270" spans="1:9" ht="40.799999999999997">
      <c r="A1270" s="21">
        <v>7</v>
      </c>
      <c r="B1270" s="21"/>
      <c r="C1270" s="12" t="s">
        <v>46</v>
      </c>
      <c r="D1270" s="10" t="s">
        <v>263</v>
      </c>
      <c r="E1270" s="6">
        <v>3</v>
      </c>
      <c r="F1270" s="24" t="s">
        <v>43</v>
      </c>
      <c r="G1270" s="24" t="s">
        <v>43</v>
      </c>
      <c r="H1270" s="24" t="s">
        <v>43</v>
      </c>
      <c r="I1270" s="24" t="s">
        <v>43</v>
      </c>
    </row>
    <row r="1271" spans="1:9" ht="40.799999999999997">
      <c r="A1271" s="21">
        <v>7</v>
      </c>
      <c r="B1271" s="21"/>
      <c r="C1271" s="12" t="s">
        <v>46</v>
      </c>
      <c r="D1271" s="10" t="s">
        <v>263</v>
      </c>
      <c r="E1271" s="6">
        <v>3</v>
      </c>
      <c r="F1271" s="24" t="s">
        <v>43</v>
      </c>
      <c r="G1271" s="24" t="s">
        <v>43</v>
      </c>
      <c r="H1271" s="24" t="s">
        <v>43</v>
      </c>
      <c r="I1271" s="24" t="s">
        <v>43</v>
      </c>
    </row>
    <row r="1272" spans="1:9" ht="40.799999999999997">
      <c r="A1272" s="21">
        <v>7</v>
      </c>
      <c r="B1272" s="21"/>
      <c r="C1272" s="12" t="s">
        <v>46</v>
      </c>
      <c r="D1272" s="10" t="s">
        <v>263</v>
      </c>
      <c r="E1272" s="6">
        <v>3</v>
      </c>
      <c r="F1272" s="24" t="s">
        <v>43</v>
      </c>
      <c r="G1272" s="24" t="s">
        <v>43</v>
      </c>
      <c r="H1272" s="24" t="s">
        <v>43</v>
      </c>
      <c r="I1272" s="24" t="s">
        <v>43</v>
      </c>
    </row>
    <row r="1273" spans="1:9" ht="40.799999999999997">
      <c r="A1273" s="21">
        <v>7</v>
      </c>
      <c r="B1273" s="21"/>
      <c r="C1273" s="12" t="s">
        <v>46</v>
      </c>
      <c r="D1273" s="10" t="s">
        <v>263</v>
      </c>
      <c r="E1273" s="6">
        <v>3</v>
      </c>
      <c r="F1273" s="24" t="s">
        <v>43</v>
      </c>
      <c r="G1273" s="24" t="s">
        <v>43</v>
      </c>
      <c r="H1273" s="24" t="s">
        <v>43</v>
      </c>
      <c r="I1273" s="24" t="s">
        <v>43</v>
      </c>
    </row>
    <row r="1274" spans="1:9" ht="40.799999999999997">
      <c r="A1274" s="21">
        <v>7</v>
      </c>
      <c r="B1274" s="21"/>
      <c r="C1274" s="12" t="s">
        <v>46</v>
      </c>
      <c r="D1274" s="10" t="s">
        <v>263</v>
      </c>
      <c r="E1274" s="6">
        <v>3</v>
      </c>
      <c r="F1274" s="24" t="s">
        <v>43</v>
      </c>
      <c r="G1274" s="24" t="s">
        <v>43</v>
      </c>
      <c r="H1274" s="24" t="s">
        <v>43</v>
      </c>
      <c r="I1274" s="24" t="s">
        <v>43</v>
      </c>
    </row>
    <row r="1275" spans="1:9" ht="40.799999999999997">
      <c r="A1275" s="21">
        <v>7</v>
      </c>
      <c r="B1275" s="21"/>
      <c r="C1275" s="12" t="s">
        <v>46</v>
      </c>
      <c r="D1275" s="10" t="s">
        <v>263</v>
      </c>
      <c r="E1275" s="6">
        <v>3</v>
      </c>
      <c r="F1275" s="24" t="s">
        <v>43</v>
      </c>
      <c r="G1275" s="24" t="s">
        <v>43</v>
      </c>
      <c r="H1275" s="24" t="s">
        <v>43</v>
      </c>
      <c r="I1275" s="24" t="s">
        <v>43</v>
      </c>
    </row>
    <row r="1276" spans="1:9" ht="40.799999999999997">
      <c r="A1276" s="21">
        <v>7</v>
      </c>
      <c r="B1276" s="21"/>
      <c r="C1276" s="12" t="s">
        <v>46</v>
      </c>
      <c r="D1276" s="10" t="s">
        <v>263</v>
      </c>
      <c r="E1276" s="6">
        <v>3</v>
      </c>
      <c r="F1276" s="24" t="s">
        <v>43</v>
      </c>
      <c r="G1276" s="24" t="s">
        <v>43</v>
      </c>
      <c r="H1276" s="24" t="s">
        <v>43</v>
      </c>
      <c r="I1276" s="24" t="s">
        <v>43</v>
      </c>
    </row>
    <row r="1277" spans="1:9" ht="40.799999999999997">
      <c r="A1277" s="21">
        <v>7</v>
      </c>
      <c r="B1277" s="21"/>
      <c r="C1277" s="12" t="s">
        <v>46</v>
      </c>
      <c r="D1277" s="10" t="s">
        <v>263</v>
      </c>
      <c r="E1277" s="6">
        <v>3</v>
      </c>
      <c r="F1277" s="24" t="s">
        <v>43</v>
      </c>
      <c r="G1277" s="24" t="s">
        <v>43</v>
      </c>
      <c r="H1277" s="24" t="s">
        <v>43</v>
      </c>
      <c r="I1277" s="24" t="s">
        <v>43</v>
      </c>
    </row>
    <row r="1278" spans="1:9" ht="40.799999999999997">
      <c r="A1278" s="21">
        <v>7</v>
      </c>
      <c r="B1278" s="21"/>
      <c r="C1278" s="12" t="s">
        <v>46</v>
      </c>
      <c r="D1278" s="10" t="s">
        <v>263</v>
      </c>
      <c r="E1278" s="6">
        <v>3</v>
      </c>
      <c r="F1278" s="24" t="s">
        <v>43</v>
      </c>
      <c r="G1278" s="24" t="s">
        <v>43</v>
      </c>
      <c r="H1278" s="24" t="s">
        <v>43</v>
      </c>
      <c r="I1278" s="24" t="s">
        <v>43</v>
      </c>
    </row>
    <row r="1279" spans="1:9" ht="40.799999999999997">
      <c r="A1279" s="21">
        <v>7</v>
      </c>
      <c r="B1279" s="21"/>
      <c r="C1279" s="12" t="s">
        <v>46</v>
      </c>
      <c r="D1279" s="10" t="s">
        <v>263</v>
      </c>
      <c r="E1279" s="6">
        <v>3</v>
      </c>
      <c r="F1279" s="24" t="s">
        <v>43</v>
      </c>
      <c r="G1279" s="24" t="s">
        <v>43</v>
      </c>
      <c r="H1279" s="24" t="s">
        <v>43</v>
      </c>
      <c r="I1279" s="24" t="s">
        <v>43</v>
      </c>
    </row>
    <row r="1280" spans="1:9" ht="40.799999999999997">
      <c r="A1280" s="21">
        <v>7</v>
      </c>
      <c r="B1280" s="21"/>
      <c r="C1280" s="12" t="s">
        <v>46</v>
      </c>
      <c r="D1280" s="10" t="s">
        <v>263</v>
      </c>
      <c r="E1280" s="6">
        <v>3</v>
      </c>
      <c r="F1280" s="24" t="s">
        <v>43</v>
      </c>
      <c r="G1280" s="24" t="s">
        <v>43</v>
      </c>
      <c r="H1280" s="24" t="s">
        <v>43</v>
      </c>
      <c r="I1280" s="24" t="s">
        <v>43</v>
      </c>
    </row>
    <row r="1281" spans="1:9" ht="40.799999999999997">
      <c r="A1281" s="21">
        <v>7</v>
      </c>
      <c r="B1281" s="21"/>
      <c r="C1281" s="12" t="s">
        <v>46</v>
      </c>
      <c r="D1281" s="10" t="s">
        <v>263</v>
      </c>
      <c r="E1281" s="6">
        <v>3</v>
      </c>
      <c r="F1281" s="24" t="s">
        <v>43</v>
      </c>
      <c r="G1281" s="24" t="s">
        <v>43</v>
      </c>
      <c r="H1281" s="24" t="s">
        <v>43</v>
      </c>
      <c r="I1281" s="24" t="s">
        <v>43</v>
      </c>
    </row>
    <row r="1282" spans="1:9" ht="40.799999999999997">
      <c r="A1282" s="21">
        <v>7</v>
      </c>
      <c r="B1282" s="21"/>
      <c r="C1282" s="12" t="s">
        <v>46</v>
      </c>
      <c r="D1282" s="10" t="s">
        <v>263</v>
      </c>
      <c r="E1282" s="6">
        <v>3</v>
      </c>
      <c r="F1282" s="24" t="s">
        <v>43</v>
      </c>
      <c r="G1282" s="24" t="s">
        <v>43</v>
      </c>
      <c r="H1282" s="24" t="s">
        <v>43</v>
      </c>
      <c r="I1282" s="24" t="s">
        <v>43</v>
      </c>
    </row>
    <row r="1283" spans="1:9" ht="40.799999999999997">
      <c r="A1283" s="21">
        <v>7</v>
      </c>
      <c r="B1283" s="21"/>
      <c r="C1283" s="12" t="s">
        <v>46</v>
      </c>
      <c r="D1283" s="10" t="s">
        <v>263</v>
      </c>
      <c r="E1283" s="6">
        <v>3</v>
      </c>
      <c r="F1283" s="24" t="s">
        <v>43</v>
      </c>
      <c r="G1283" s="24" t="s">
        <v>43</v>
      </c>
      <c r="H1283" s="24" t="s">
        <v>43</v>
      </c>
      <c r="I1283" s="24" t="s">
        <v>43</v>
      </c>
    </row>
    <row r="1284" spans="1:9" ht="40.799999999999997">
      <c r="A1284" s="21">
        <v>7</v>
      </c>
      <c r="B1284" s="21"/>
      <c r="C1284" s="12" t="s">
        <v>46</v>
      </c>
      <c r="D1284" s="10" t="s">
        <v>263</v>
      </c>
      <c r="E1284" s="6">
        <v>3</v>
      </c>
      <c r="F1284" s="24" t="s">
        <v>43</v>
      </c>
      <c r="G1284" s="24" t="s">
        <v>43</v>
      </c>
      <c r="H1284" s="24" t="s">
        <v>43</v>
      </c>
      <c r="I1284" s="24" t="s">
        <v>43</v>
      </c>
    </row>
    <row r="1285" spans="1:9" ht="40.799999999999997">
      <c r="A1285" s="21">
        <v>7</v>
      </c>
      <c r="B1285" s="21"/>
      <c r="C1285" s="12" t="s">
        <v>46</v>
      </c>
      <c r="D1285" s="10" t="s">
        <v>263</v>
      </c>
      <c r="E1285" s="6">
        <v>3</v>
      </c>
      <c r="F1285" s="24" t="s">
        <v>43</v>
      </c>
      <c r="G1285" s="24" t="s">
        <v>43</v>
      </c>
      <c r="H1285" s="24" t="s">
        <v>43</v>
      </c>
      <c r="I1285" s="24" t="s">
        <v>43</v>
      </c>
    </row>
    <row r="1286" spans="1:9" ht="40.799999999999997">
      <c r="A1286" s="21">
        <v>7</v>
      </c>
      <c r="B1286" s="21"/>
      <c r="C1286" s="12" t="s">
        <v>46</v>
      </c>
      <c r="D1286" s="10" t="s">
        <v>263</v>
      </c>
      <c r="E1286" s="6">
        <v>3</v>
      </c>
      <c r="F1286" s="24" t="s">
        <v>43</v>
      </c>
      <c r="G1286" s="24" t="s">
        <v>43</v>
      </c>
      <c r="H1286" s="24" t="s">
        <v>43</v>
      </c>
      <c r="I1286" s="24" t="s">
        <v>43</v>
      </c>
    </row>
    <row r="1287" spans="1:9" ht="40.799999999999997">
      <c r="A1287" s="21">
        <v>7</v>
      </c>
      <c r="B1287" s="21"/>
      <c r="C1287" s="12" t="s">
        <v>46</v>
      </c>
      <c r="D1287" s="10" t="s">
        <v>263</v>
      </c>
      <c r="E1287" s="6">
        <v>3</v>
      </c>
      <c r="F1287" s="24" t="s">
        <v>43</v>
      </c>
      <c r="G1287" s="24" t="s">
        <v>43</v>
      </c>
      <c r="H1287" s="24" t="s">
        <v>43</v>
      </c>
      <c r="I1287" s="24" t="s">
        <v>43</v>
      </c>
    </row>
    <row r="1288" spans="1:9" ht="40.799999999999997">
      <c r="A1288" s="21">
        <v>7</v>
      </c>
      <c r="B1288" s="21"/>
      <c r="C1288" s="12" t="s">
        <v>46</v>
      </c>
      <c r="D1288" s="10" t="s">
        <v>263</v>
      </c>
      <c r="E1288" s="6">
        <v>3</v>
      </c>
      <c r="F1288" s="24" t="s">
        <v>43</v>
      </c>
      <c r="G1288" s="24" t="s">
        <v>43</v>
      </c>
      <c r="H1288" s="24" t="s">
        <v>43</v>
      </c>
      <c r="I1288" s="24" t="s">
        <v>43</v>
      </c>
    </row>
    <row r="1289" spans="1:9" ht="40.799999999999997">
      <c r="A1289" s="21">
        <v>7</v>
      </c>
      <c r="B1289" s="21"/>
      <c r="C1289" s="12" t="s">
        <v>46</v>
      </c>
      <c r="D1289" s="10" t="s">
        <v>263</v>
      </c>
      <c r="E1289" s="6">
        <v>3</v>
      </c>
      <c r="F1289" s="24" t="s">
        <v>43</v>
      </c>
      <c r="G1289" s="24" t="s">
        <v>43</v>
      </c>
      <c r="H1289" s="24" t="s">
        <v>43</v>
      </c>
      <c r="I1289" s="24" t="s">
        <v>43</v>
      </c>
    </row>
    <row r="1290" spans="1:9" ht="40.799999999999997">
      <c r="A1290" s="21">
        <v>7</v>
      </c>
      <c r="B1290" s="21"/>
      <c r="C1290" s="12" t="s">
        <v>46</v>
      </c>
      <c r="D1290" s="10" t="s">
        <v>263</v>
      </c>
      <c r="E1290" s="6">
        <v>3</v>
      </c>
      <c r="F1290" s="24" t="s">
        <v>43</v>
      </c>
      <c r="G1290" s="24" t="s">
        <v>43</v>
      </c>
      <c r="H1290" s="24" t="s">
        <v>43</v>
      </c>
      <c r="I1290" s="24" t="s">
        <v>43</v>
      </c>
    </row>
    <row r="1291" spans="1:9" ht="40.799999999999997">
      <c r="A1291" s="21">
        <v>7</v>
      </c>
      <c r="B1291" s="21"/>
      <c r="C1291" s="12" t="s">
        <v>46</v>
      </c>
      <c r="D1291" s="10" t="s">
        <v>263</v>
      </c>
      <c r="E1291" s="6">
        <v>3</v>
      </c>
      <c r="F1291" s="24" t="s">
        <v>43</v>
      </c>
      <c r="G1291" s="24" t="s">
        <v>43</v>
      </c>
      <c r="H1291" s="24" t="s">
        <v>43</v>
      </c>
      <c r="I1291" s="24" t="s">
        <v>43</v>
      </c>
    </row>
    <row r="1292" spans="1:9" ht="40.799999999999997">
      <c r="A1292" s="21">
        <v>7</v>
      </c>
      <c r="B1292" s="21"/>
      <c r="C1292" s="12" t="s">
        <v>46</v>
      </c>
      <c r="D1292" s="10" t="s">
        <v>263</v>
      </c>
      <c r="E1292" s="6">
        <v>3</v>
      </c>
      <c r="F1292" s="24" t="s">
        <v>43</v>
      </c>
      <c r="G1292" s="24" t="s">
        <v>43</v>
      </c>
      <c r="H1292" s="24" t="s">
        <v>43</v>
      </c>
      <c r="I1292" s="24" t="s">
        <v>43</v>
      </c>
    </row>
    <row r="1293" spans="1:9" ht="40.799999999999997">
      <c r="A1293" s="21">
        <v>7</v>
      </c>
      <c r="B1293" s="21"/>
      <c r="C1293" s="12" t="s">
        <v>46</v>
      </c>
      <c r="D1293" s="10" t="s">
        <v>263</v>
      </c>
      <c r="E1293" s="6">
        <v>3</v>
      </c>
      <c r="F1293" s="24" t="s">
        <v>43</v>
      </c>
      <c r="G1293" s="24" t="s">
        <v>43</v>
      </c>
      <c r="H1293" s="24" t="s">
        <v>43</v>
      </c>
      <c r="I1293" s="24" t="s">
        <v>43</v>
      </c>
    </row>
    <row r="1294" spans="1:9" ht="40.799999999999997">
      <c r="A1294" s="21">
        <v>7</v>
      </c>
      <c r="B1294" s="21"/>
      <c r="C1294" s="12" t="s">
        <v>46</v>
      </c>
      <c r="D1294" s="10" t="s">
        <v>263</v>
      </c>
      <c r="E1294" s="6">
        <v>3</v>
      </c>
      <c r="F1294" s="24" t="s">
        <v>43</v>
      </c>
      <c r="G1294" s="24" t="s">
        <v>43</v>
      </c>
      <c r="H1294" s="24" t="s">
        <v>43</v>
      </c>
      <c r="I1294" s="24" t="s">
        <v>43</v>
      </c>
    </row>
    <row r="1295" spans="1:9" ht="40.799999999999997">
      <c r="A1295" s="21">
        <v>7</v>
      </c>
      <c r="B1295" s="21"/>
      <c r="C1295" s="12" t="s">
        <v>46</v>
      </c>
      <c r="D1295" s="10" t="s">
        <v>263</v>
      </c>
      <c r="E1295" s="6">
        <v>3</v>
      </c>
      <c r="F1295" s="24" t="s">
        <v>43</v>
      </c>
      <c r="G1295" s="24" t="s">
        <v>43</v>
      </c>
      <c r="H1295" s="24" t="s">
        <v>43</v>
      </c>
      <c r="I1295" s="24" t="s">
        <v>43</v>
      </c>
    </row>
    <row r="1296" spans="1:9" ht="40.799999999999997">
      <c r="A1296" s="21">
        <v>7</v>
      </c>
      <c r="B1296" s="21"/>
      <c r="C1296" s="12" t="s">
        <v>46</v>
      </c>
      <c r="D1296" s="10" t="s">
        <v>263</v>
      </c>
      <c r="E1296" s="6">
        <v>3</v>
      </c>
      <c r="F1296" s="24" t="s">
        <v>43</v>
      </c>
      <c r="G1296" s="24" t="s">
        <v>43</v>
      </c>
      <c r="H1296" s="24" t="s">
        <v>43</v>
      </c>
      <c r="I1296" s="24" t="s">
        <v>43</v>
      </c>
    </row>
    <row r="1297" spans="1:9" ht="40.799999999999997">
      <c r="A1297" s="21">
        <v>7</v>
      </c>
      <c r="B1297" s="21"/>
      <c r="C1297" s="12" t="s">
        <v>46</v>
      </c>
      <c r="D1297" s="10" t="s">
        <v>263</v>
      </c>
      <c r="E1297" s="6">
        <v>3</v>
      </c>
      <c r="F1297" s="24" t="s">
        <v>43</v>
      </c>
      <c r="G1297" s="24" t="s">
        <v>43</v>
      </c>
      <c r="H1297" s="24" t="s">
        <v>43</v>
      </c>
      <c r="I1297" s="24" t="s">
        <v>43</v>
      </c>
    </row>
    <row r="1298" spans="1:9" ht="40.799999999999997">
      <c r="A1298" s="21">
        <v>7</v>
      </c>
      <c r="B1298" s="21"/>
      <c r="C1298" s="12" t="s">
        <v>46</v>
      </c>
      <c r="D1298" s="10" t="s">
        <v>263</v>
      </c>
      <c r="E1298" s="6">
        <v>3</v>
      </c>
      <c r="F1298" s="24" t="s">
        <v>43</v>
      </c>
      <c r="G1298" s="24" t="s">
        <v>43</v>
      </c>
      <c r="H1298" s="24" t="s">
        <v>43</v>
      </c>
      <c r="I1298" s="24" t="s">
        <v>43</v>
      </c>
    </row>
    <row r="1299" spans="1:9" ht="40.799999999999997">
      <c r="A1299" s="21">
        <v>7</v>
      </c>
      <c r="B1299" s="21"/>
      <c r="C1299" s="12" t="s">
        <v>46</v>
      </c>
      <c r="D1299" s="10" t="s">
        <v>263</v>
      </c>
      <c r="E1299" s="6">
        <v>3</v>
      </c>
      <c r="F1299" s="24" t="s">
        <v>43</v>
      </c>
      <c r="G1299" s="24" t="s">
        <v>43</v>
      </c>
      <c r="H1299" s="24" t="s">
        <v>43</v>
      </c>
      <c r="I1299" s="24" t="s">
        <v>43</v>
      </c>
    </row>
    <row r="1300" spans="1:9" ht="40.799999999999997">
      <c r="A1300" s="21">
        <v>7</v>
      </c>
      <c r="B1300" s="21"/>
      <c r="C1300" s="12" t="s">
        <v>46</v>
      </c>
      <c r="D1300" s="10" t="s">
        <v>263</v>
      </c>
      <c r="E1300" s="6">
        <v>3</v>
      </c>
      <c r="F1300" s="24" t="s">
        <v>43</v>
      </c>
      <c r="G1300" s="24" t="s">
        <v>43</v>
      </c>
      <c r="H1300" s="24" t="s">
        <v>43</v>
      </c>
      <c r="I1300" s="24" t="s">
        <v>43</v>
      </c>
    </row>
    <row r="1301" spans="1:9" ht="40.799999999999997">
      <c r="A1301" s="21">
        <v>7</v>
      </c>
      <c r="B1301" s="21"/>
      <c r="C1301" s="12" t="s">
        <v>46</v>
      </c>
      <c r="D1301" s="10" t="s">
        <v>263</v>
      </c>
      <c r="E1301" s="6">
        <v>3</v>
      </c>
      <c r="F1301" s="24" t="s">
        <v>43</v>
      </c>
      <c r="G1301" s="24" t="s">
        <v>43</v>
      </c>
      <c r="H1301" s="24" t="s">
        <v>43</v>
      </c>
      <c r="I1301" s="24" t="s">
        <v>43</v>
      </c>
    </row>
    <row r="1302" spans="1:9" ht="40.799999999999997">
      <c r="A1302" s="21">
        <v>7</v>
      </c>
      <c r="B1302" s="21"/>
      <c r="C1302" s="12" t="s">
        <v>46</v>
      </c>
      <c r="D1302" s="10" t="s">
        <v>263</v>
      </c>
      <c r="E1302" s="6">
        <v>3</v>
      </c>
      <c r="F1302" s="24" t="s">
        <v>43</v>
      </c>
      <c r="G1302" s="24" t="s">
        <v>43</v>
      </c>
      <c r="H1302" s="24" t="s">
        <v>43</v>
      </c>
      <c r="I1302" s="24" t="s">
        <v>43</v>
      </c>
    </row>
    <row r="1303" spans="1:9" ht="40.799999999999997">
      <c r="A1303" s="21">
        <v>7</v>
      </c>
      <c r="B1303" s="21"/>
      <c r="C1303" s="12" t="s">
        <v>46</v>
      </c>
      <c r="D1303" s="10" t="s">
        <v>263</v>
      </c>
      <c r="E1303" s="6">
        <v>3</v>
      </c>
      <c r="F1303" s="24" t="s">
        <v>43</v>
      </c>
      <c r="G1303" s="24" t="s">
        <v>43</v>
      </c>
      <c r="H1303" s="24" t="s">
        <v>43</v>
      </c>
      <c r="I1303" s="24" t="s">
        <v>43</v>
      </c>
    </row>
    <row r="1304" spans="1:9" ht="40.799999999999997">
      <c r="A1304" s="21">
        <v>7</v>
      </c>
      <c r="B1304" s="21"/>
      <c r="C1304" s="12" t="s">
        <v>46</v>
      </c>
      <c r="D1304" s="10" t="s">
        <v>263</v>
      </c>
      <c r="E1304" s="6">
        <v>3</v>
      </c>
      <c r="F1304" s="24" t="s">
        <v>43</v>
      </c>
      <c r="G1304" s="24" t="s">
        <v>43</v>
      </c>
      <c r="H1304" s="24" t="s">
        <v>43</v>
      </c>
      <c r="I1304" s="24" t="s">
        <v>43</v>
      </c>
    </row>
    <row r="1305" spans="1:9" ht="40.799999999999997">
      <c r="A1305" s="21">
        <v>7</v>
      </c>
      <c r="B1305" s="21"/>
      <c r="C1305" s="12" t="s">
        <v>46</v>
      </c>
      <c r="D1305" s="10" t="s">
        <v>263</v>
      </c>
      <c r="E1305" s="6">
        <v>3</v>
      </c>
      <c r="F1305" s="24" t="s">
        <v>43</v>
      </c>
      <c r="G1305" s="24" t="s">
        <v>43</v>
      </c>
      <c r="H1305" s="24" t="s">
        <v>43</v>
      </c>
      <c r="I1305" s="24" t="s">
        <v>43</v>
      </c>
    </row>
    <row r="1306" spans="1:9" ht="40.799999999999997">
      <c r="A1306" s="21">
        <v>7</v>
      </c>
      <c r="B1306" s="21"/>
      <c r="C1306" s="12" t="s">
        <v>46</v>
      </c>
      <c r="D1306" s="10" t="s">
        <v>263</v>
      </c>
      <c r="E1306" s="6">
        <v>3</v>
      </c>
      <c r="F1306" s="24" t="s">
        <v>43</v>
      </c>
      <c r="G1306" s="24" t="s">
        <v>43</v>
      </c>
      <c r="H1306" s="24" t="s">
        <v>43</v>
      </c>
      <c r="I1306" s="24" t="s">
        <v>43</v>
      </c>
    </row>
    <row r="1307" spans="1:9" ht="40.799999999999997">
      <c r="A1307" s="21">
        <v>7</v>
      </c>
      <c r="B1307" s="21"/>
      <c r="C1307" s="12" t="s">
        <v>46</v>
      </c>
      <c r="D1307" s="10" t="s">
        <v>263</v>
      </c>
      <c r="E1307" s="6">
        <v>3</v>
      </c>
      <c r="F1307" s="24" t="s">
        <v>43</v>
      </c>
      <c r="G1307" s="24" t="s">
        <v>43</v>
      </c>
      <c r="H1307" s="24" t="s">
        <v>43</v>
      </c>
      <c r="I1307" s="24" t="s">
        <v>43</v>
      </c>
    </row>
    <row r="1308" spans="1:9" ht="40.799999999999997">
      <c r="A1308" s="21">
        <v>7</v>
      </c>
      <c r="B1308" s="21"/>
      <c r="C1308" s="12" t="s">
        <v>46</v>
      </c>
      <c r="D1308" s="10" t="s">
        <v>263</v>
      </c>
      <c r="E1308" s="6">
        <v>3</v>
      </c>
      <c r="F1308" s="24" t="s">
        <v>43</v>
      </c>
      <c r="G1308" s="24" t="s">
        <v>43</v>
      </c>
      <c r="H1308" s="24" t="s">
        <v>43</v>
      </c>
      <c r="I1308" s="24" t="s">
        <v>43</v>
      </c>
    </row>
    <row r="1309" spans="1:9" ht="40.799999999999997">
      <c r="A1309" s="21">
        <v>7</v>
      </c>
      <c r="B1309" s="21"/>
      <c r="C1309" s="12" t="s">
        <v>46</v>
      </c>
      <c r="D1309" s="10" t="s">
        <v>263</v>
      </c>
      <c r="E1309" s="6">
        <v>3</v>
      </c>
      <c r="F1309" s="24" t="s">
        <v>43</v>
      </c>
      <c r="G1309" s="24" t="s">
        <v>43</v>
      </c>
      <c r="H1309" s="24" t="s">
        <v>43</v>
      </c>
      <c r="I1309" s="24" t="s">
        <v>43</v>
      </c>
    </row>
    <row r="1310" spans="1:9" ht="40.799999999999997">
      <c r="A1310" s="21">
        <v>7</v>
      </c>
      <c r="B1310" s="21"/>
      <c r="C1310" s="12" t="s">
        <v>46</v>
      </c>
      <c r="D1310" s="10" t="s">
        <v>263</v>
      </c>
      <c r="E1310" s="6">
        <v>3</v>
      </c>
      <c r="F1310" s="24" t="s">
        <v>43</v>
      </c>
      <c r="G1310" s="24" t="s">
        <v>43</v>
      </c>
      <c r="H1310" s="24" t="s">
        <v>43</v>
      </c>
      <c r="I1310" s="24" t="s">
        <v>43</v>
      </c>
    </row>
    <row r="1311" spans="1:9" ht="40.799999999999997">
      <c r="A1311" s="21">
        <v>7</v>
      </c>
      <c r="B1311" s="21"/>
      <c r="C1311" s="12" t="s">
        <v>46</v>
      </c>
      <c r="D1311" s="10" t="s">
        <v>263</v>
      </c>
      <c r="E1311" s="6">
        <v>3</v>
      </c>
      <c r="F1311" s="24" t="s">
        <v>43</v>
      </c>
      <c r="G1311" s="24" t="s">
        <v>43</v>
      </c>
      <c r="H1311" s="24" t="s">
        <v>43</v>
      </c>
      <c r="I1311" s="24" t="s">
        <v>43</v>
      </c>
    </row>
    <row r="1312" spans="1:9" ht="40.799999999999997">
      <c r="A1312" s="21">
        <v>7</v>
      </c>
      <c r="B1312" s="21"/>
      <c r="C1312" s="12" t="s">
        <v>46</v>
      </c>
      <c r="D1312" s="10" t="s">
        <v>263</v>
      </c>
      <c r="E1312" s="6">
        <v>3</v>
      </c>
      <c r="F1312" s="24" t="s">
        <v>43</v>
      </c>
      <c r="G1312" s="24" t="s">
        <v>43</v>
      </c>
      <c r="H1312" s="24" t="s">
        <v>43</v>
      </c>
      <c r="I1312" s="24" t="s">
        <v>43</v>
      </c>
    </row>
    <row r="1313" spans="1:9" ht="40.799999999999997">
      <c r="A1313" s="21">
        <v>7</v>
      </c>
      <c r="B1313" s="21"/>
      <c r="C1313" s="12" t="s">
        <v>46</v>
      </c>
      <c r="D1313" s="10" t="s">
        <v>263</v>
      </c>
      <c r="E1313" s="6">
        <v>3</v>
      </c>
      <c r="F1313" s="24" t="s">
        <v>43</v>
      </c>
      <c r="G1313" s="24" t="s">
        <v>43</v>
      </c>
      <c r="H1313" s="24" t="s">
        <v>43</v>
      </c>
      <c r="I1313" s="24" t="s">
        <v>43</v>
      </c>
    </row>
    <row r="1314" spans="1:9" ht="40.799999999999997">
      <c r="A1314" s="21">
        <v>7</v>
      </c>
      <c r="B1314" s="21"/>
      <c r="C1314" s="12" t="s">
        <v>46</v>
      </c>
      <c r="D1314" s="10" t="s">
        <v>263</v>
      </c>
      <c r="E1314" s="6">
        <v>3</v>
      </c>
      <c r="F1314" s="24" t="s">
        <v>43</v>
      </c>
      <c r="G1314" s="24" t="s">
        <v>43</v>
      </c>
      <c r="H1314" s="24" t="s">
        <v>43</v>
      </c>
      <c r="I1314" s="24" t="s">
        <v>43</v>
      </c>
    </row>
    <row r="1315" spans="1:9" ht="40.799999999999997">
      <c r="A1315" s="21">
        <v>7</v>
      </c>
      <c r="B1315" s="21"/>
      <c r="C1315" s="12" t="s">
        <v>46</v>
      </c>
      <c r="D1315" s="10" t="s">
        <v>263</v>
      </c>
      <c r="E1315" s="6">
        <v>3</v>
      </c>
      <c r="F1315" s="24" t="s">
        <v>43</v>
      </c>
      <c r="G1315" s="24" t="s">
        <v>43</v>
      </c>
      <c r="H1315" s="24" t="s">
        <v>43</v>
      </c>
      <c r="I1315" s="24" t="s">
        <v>43</v>
      </c>
    </row>
    <row r="1316" spans="1:9" ht="40.799999999999997">
      <c r="A1316" s="21">
        <v>7</v>
      </c>
      <c r="B1316" s="21"/>
      <c r="C1316" s="12" t="s">
        <v>46</v>
      </c>
      <c r="D1316" s="10" t="s">
        <v>263</v>
      </c>
      <c r="E1316" s="6">
        <v>3</v>
      </c>
      <c r="F1316" s="24" t="s">
        <v>43</v>
      </c>
      <c r="G1316" s="24" t="s">
        <v>43</v>
      </c>
      <c r="H1316" s="24" t="s">
        <v>43</v>
      </c>
      <c r="I1316" s="24" t="s">
        <v>43</v>
      </c>
    </row>
    <row r="1317" spans="1:9" ht="40.799999999999997">
      <c r="A1317" s="21">
        <v>7</v>
      </c>
      <c r="B1317" s="21"/>
      <c r="C1317" s="12" t="s">
        <v>46</v>
      </c>
      <c r="D1317" s="10" t="s">
        <v>263</v>
      </c>
      <c r="E1317" s="6">
        <v>3</v>
      </c>
      <c r="F1317" s="24" t="s">
        <v>43</v>
      </c>
      <c r="G1317" s="24" t="s">
        <v>43</v>
      </c>
      <c r="H1317" s="24" t="s">
        <v>43</v>
      </c>
      <c r="I1317" s="24" t="s">
        <v>43</v>
      </c>
    </row>
    <row r="1318" spans="1:9" ht="40.799999999999997">
      <c r="A1318" s="21">
        <v>7</v>
      </c>
      <c r="B1318" s="21"/>
      <c r="C1318" s="12" t="s">
        <v>46</v>
      </c>
      <c r="D1318" s="10" t="s">
        <v>263</v>
      </c>
      <c r="E1318" s="6">
        <v>3</v>
      </c>
      <c r="F1318" s="24" t="s">
        <v>43</v>
      </c>
      <c r="G1318" s="24" t="s">
        <v>43</v>
      </c>
      <c r="H1318" s="24" t="s">
        <v>43</v>
      </c>
      <c r="I1318" s="24" t="s">
        <v>43</v>
      </c>
    </row>
    <row r="1319" spans="1:9" ht="40.799999999999997">
      <c r="A1319" s="21">
        <v>7</v>
      </c>
      <c r="B1319" s="21"/>
      <c r="C1319" s="12" t="s">
        <v>46</v>
      </c>
      <c r="D1319" s="10" t="s">
        <v>263</v>
      </c>
      <c r="E1319" s="6">
        <v>3</v>
      </c>
      <c r="F1319" s="24" t="s">
        <v>43</v>
      </c>
      <c r="G1319" s="24" t="s">
        <v>43</v>
      </c>
      <c r="H1319" s="24" t="s">
        <v>43</v>
      </c>
      <c r="I1319" s="24" t="s">
        <v>43</v>
      </c>
    </row>
    <row r="1320" spans="1:9" ht="40.799999999999997">
      <c r="A1320" s="21">
        <v>7</v>
      </c>
      <c r="B1320" s="21"/>
      <c r="C1320" s="12" t="s">
        <v>46</v>
      </c>
      <c r="D1320" s="10" t="s">
        <v>263</v>
      </c>
      <c r="E1320" s="6">
        <v>3</v>
      </c>
      <c r="F1320" s="24" t="s">
        <v>43</v>
      </c>
      <c r="G1320" s="24" t="s">
        <v>43</v>
      </c>
      <c r="H1320" s="24" t="s">
        <v>43</v>
      </c>
      <c r="I1320" s="24" t="s">
        <v>43</v>
      </c>
    </row>
    <row r="1321" spans="1:9" ht="40.799999999999997">
      <c r="A1321" s="21">
        <v>7</v>
      </c>
      <c r="B1321" s="21"/>
      <c r="C1321" s="12" t="s">
        <v>46</v>
      </c>
      <c r="D1321" s="10" t="s">
        <v>263</v>
      </c>
      <c r="E1321" s="6">
        <v>3</v>
      </c>
      <c r="F1321" s="24" t="s">
        <v>43</v>
      </c>
      <c r="G1321" s="24" t="s">
        <v>43</v>
      </c>
      <c r="H1321" s="24" t="s">
        <v>43</v>
      </c>
      <c r="I1321" s="24" t="s">
        <v>43</v>
      </c>
    </row>
    <row r="1322" spans="1:9" ht="40.799999999999997">
      <c r="A1322" s="21">
        <v>7</v>
      </c>
      <c r="B1322" s="21"/>
      <c r="C1322" s="12" t="s">
        <v>46</v>
      </c>
      <c r="D1322" s="10" t="s">
        <v>263</v>
      </c>
      <c r="E1322" s="6">
        <v>3</v>
      </c>
      <c r="F1322" s="24" t="s">
        <v>43</v>
      </c>
      <c r="G1322" s="24" t="s">
        <v>43</v>
      </c>
      <c r="H1322" s="24" t="s">
        <v>43</v>
      </c>
      <c r="I1322" s="24" t="s">
        <v>43</v>
      </c>
    </row>
    <row r="1323" spans="1:9" ht="40.799999999999997">
      <c r="A1323" s="21">
        <v>7</v>
      </c>
      <c r="B1323" s="21"/>
      <c r="C1323" s="12" t="s">
        <v>46</v>
      </c>
      <c r="D1323" s="10" t="s">
        <v>263</v>
      </c>
      <c r="E1323" s="6">
        <v>3</v>
      </c>
      <c r="F1323" s="24" t="s">
        <v>43</v>
      </c>
      <c r="G1323" s="24" t="s">
        <v>43</v>
      </c>
      <c r="H1323" s="24" t="s">
        <v>43</v>
      </c>
      <c r="I1323" s="24" t="s">
        <v>43</v>
      </c>
    </row>
    <row r="1324" spans="1:9" ht="40.799999999999997">
      <c r="A1324" s="21">
        <v>7</v>
      </c>
      <c r="B1324" s="21"/>
      <c r="C1324" s="12" t="s">
        <v>46</v>
      </c>
      <c r="D1324" s="10" t="s">
        <v>263</v>
      </c>
      <c r="E1324" s="6">
        <v>3</v>
      </c>
      <c r="F1324" s="24" t="s">
        <v>43</v>
      </c>
      <c r="G1324" s="24" t="s">
        <v>43</v>
      </c>
      <c r="H1324" s="24" t="s">
        <v>43</v>
      </c>
      <c r="I1324" s="24" t="s">
        <v>43</v>
      </c>
    </row>
    <row r="1325" spans="1:9" ht="40.799999999999997">
      <c r="A1325" s="21">
        <v>7</v>
      </c>
      <c r="B1325" s="21"/>
      <c r="C1325" s="12" t="s">
        <v>46</v>
      </c>
      <c r="D1325" s="10" t="s">
        <v>263</v>
      </c>
      <c r="E1325" s="6">
        <v>3</v>
      </c>
      <c r="F1325" s="24" t="s">
        <v>43</v>
      </c>
      <c r="G1325" s="24" t="s">
        <v>43</v>
      </c>
      <c r="H1325" s="24" t="s">
        <v>43</v>
      </c>
      <c r="I1325" s="24" t="s">
        <v>43</v>
      </c>
    </row>
    <row r="1326" spans="1:9" ht="40.799999999999997">
      <c r="A1326" s="21">
        <v>7</v>
      </c>
      <c r="B1326" s="21"/>
      <c r="C1326" s="12" t="s">
        <v>46</v>
      </c>
      <c r="D1326" s="10" t="s">
        <v>263</v>
      </c>
      <c r="E1326" s="6">
        <v>3</v>
      </c>
      <c r="F1326" s="24" t="s">
        <v>43</v>
      </c>
      <c r="G1326" s="24" t="s">
        <v>43</v>
      </c>
      <c r="H1326" s="24" t="s">
        <v>43</v>
      </c>
      <c r="I1326" s="24" t="s">
        <v>43</v>
      </c>
    </row>
    <row r="1327" spans="1:9" ht="40.799999999999997">
      <c r="A1327" s="21">
        <v>7</v>
      </c>
      <c r="B1327" s="21"/>
      <c r="C1327" s="12" t="s">
        <v>46</v>
      </c>
      <c r="D1327" s="10" t="s">
        <v>263</v>
      </c>
      <c r="E1327" s="6">
        <v>3</v>
      </c>
      <c r="F1327" s="24" t="s">
        <v>43</v>
      </c>
      <c r="G1327" s="24" t="s">
        <v>43</v>
      </c>
      <c r="H1327" s="24" t="s">
        <v>43</v>
      </c>
      <c r="I1327" s="24" t="s">
        <v>43</v>
      </c>
    </row>
    <row r="1328" spans="1:9" ht="40.799999999999997">
      <c r="A1328" s="21">
        <v>7</v>
      </c>
      <c r="B1328" s="21"/>
      <c r="C1328" s="12" t="s">
        <v>46</v>
      </c>
      <c r="D1328" s="10" t="s">
        <v>263</v>
      </c>
      <c r="E1328" s="6">
        <v>3</v>
      </c>
      <c r="F1328" s="24" t="s">
        <v>43</v>
      </c>
      <c r="G1328" s="24" t="s">
        <v>43</v>
      </c>
      <c r="H1328" s="24" t="s">
        <v>43</v>
      </c>
      <c r="I1328" s="24" t="s">
        <v>43</v>
      </c>
    </row>
    <row r="1329" spans="1:9" ht="40.799999999999997">
      <c r="A1329" s="21">
        <v>7</v>
      </c>
      <c r="B1329" s="21"/>
      <c r="C1329" s="12" t="s">
        <v>46</v>
      </c>
      <c r="D1329" s="10" t="s">
        <v>263</v>
      </c>
      <c r="E1329" s="6">
        <v>3</v>
      </c>
      <c r="F1329" s="24" t="s">
        <v>43</v>
      </c>
      <c r="G1329" s="24" t="s">
        <v>43</v>
      </c>
      <c r="H1329" s="24" t="s">
        <v>43</v>
      </c>
      <c r="I1329" s="24" t="s">
        <v>43</v>
      </c>
    </row>
    <row r="1330" spans="1:9" ht="40.799999999999997">
      <c r="A1330" s="21">
        <v>7</v>
      </c>
      <c r="B1330" s="21"/>
      <c r="C1330" s="12" t="s">
        <v>46</v>
      </c>
      <c r="D1330" s="10" t="s">
        <v>263</v>
      </c>
      <c r="E1330" s="6">
        <v>3</v>
      </c>
      <c r="F1330" s="24" t="s">
        <v>43</v>
      </c>
      <c r="G1330" s="24" t="s">
        <v>43</v>
      </c>
      <c r="H1330" s="24" t="s">
        <v>43</v>
      </c>
      <c r="I1330" s="24" t="s">
        <v>43</v>
      </c>
    </row>
    <row r="1331" spans="1:9" ht="40.799999999999997">
      <c r="A1331" s="21">
        <v>7</v>
      </c>
      <c r="B1331" s="21"/>
      <c r="C1331" s="12" t="s">
        <v>46</v>
      </c>
      <c r="D1331" s="10" t="s">
        <v>263</v>
      </c>
      <c r="E1331" s="6">
        <v>3</v>
      </c>
      <c r="F1331" s="24" t="s">
        <v>43</v>
      </c>
      <c r="G1331" s="24" t="s">
        <v>43</v>
      </c>
      <c r="H1331" s="24" t="s">
        <v>43</v>
      </c>
      <c r="I1331" s="24" t="s">
        <v>43</v>
      </c>
    </row>
    <row r="1332" spans="1:9" ht="40.799999999999997">
      <c r="A1332" s="21">
        <v>7</v>
      </c>
      <c r="B1332" s="21"/>
      <c r="C1332" s="12" t="s">
        <v>46</v>
      </c>
      <c r="D1332" s="10" t="s">
        <v>263</v>
      </c>
      <c r="E1332" s="6">
        <v>3</v>
      </c>
      <c r="F1332" s="24" t="s">
        <v>43</v>
      </c>
      <c r="G1332" s="24" t="s">
        <v>43</v>
      </c>
      <c r="H1332" s="24" t="s">
        <v>43</v>
      </c>
      <c r="I1332" s="24" t="s">
        <v>43</v>
      </c>
    </row>
    <row r="1333" spans="1:9" ht="40.799999999999997">
      <c r="A1333" s="21">
        <v>7</v>
      </c>
      <c r="B1333" s="21"/>
      <c r="C1333" s="12" t="s">
        <v>46</v>
      </c>
      <c r="D1333" s="10" t="s">
        <v>263</v>
      </c>
      <c r="E1333" s="6">
        <v>3</v>
      </c>
      <c r="F1333" s="24" t="s">
        <v>43</v>
      </c>
      <c r="G1333" s="24" t="s">
        <v>43</v>
      </c>
      <c r="H1333" s="24" t="s">
        <v>43</v>
      </c>
      <c r="I1333" s="24" t="s">
        <v>43</v>
      </c>
    </row>
    <row r="1334" spans="1:9" ht="40.799999999999997">
      <c r="A1334" s="21">
        <v>7</v>
      </c>
      <c r="B1334" s="21"/>
      <c r="C1334" s="12" t="s">
        <v>46</v>
      </c>
      <c r="D1334" s="10" t="s">
        <v>263</v>
      </c>
      <c r="E1334" s="6">
        <v>3</v>
      </c>
      <c r="F1334" s="24" t="s">
        <v>43</v>
      </c>
      <c r="G1334" s="24" t="s">
        <v>43</v>
      </c>
      <c r="H1334" s="24" t="s">
        <v>43</v>
      </c>
      <c r="I1334" s="24" t="s">
        <v>43</v>
      </c>
    </row>
    <row r="1335" spans="1:9" ht="40.799999999999997">
      <c r="A1335" s="21">
        <v>7</v>
      </c>
      <c r="B1335" s="21"/>
      <c r="C1335" s="12" t="s">
        <v>46</v>
      </c>
      <c r="D1335" s="10" t="s">
        <v>263</v>
      </c>
      <c r="E1335" s="6">
        <v>3</v>
      </c>
      <c r="F1335" s="24" t="s">
        <v>43</v>
      </c>
      <c r="G1335" s="24" t="s">
        <v>43</v>
      </c>
      <c r="H1335" s="24" t="s">
        <v>43</v>
      </c>
      <c r="I1335" s="24" t="s">
        <v>43</v>
      </c>
    </row>
    <row r="1336" spans="1:9" ht="40.799999999999997">
      <c r="A1336" s="21">
        <v>7</v>
      </c>
      <c r="B1336" s="21"/>
      <c r="C1336" s="12" t="s">
        <v>46</v>
      </c>
      <c r="D1336" s="10" t="s">
        <v>263</v>
      </c>
      <c r="E1336" s="6">
        <v>3</v>
      </c>
      <c r="F1336" s="24" t="s">
        <v>43</v>
      </c>
      <c r="G1336" s="24" t="s">
        <v>43</v>
      </c>
      <c r="H1336" s="24" t="s">
        <v>43</v>
      </c>
      <c r="I1336" s="24" t="s">
        <v>43</v>
      </c>
    </row>
    <row r="1337" spans="1:9" ht="40.799999999999997">
      <c r="A1337" s="21">
        <v>7</v>
      </c>
      <c r="B1337" s="21"/>
      <c r="C1337" s="12" t="s">
        <v>46</v>
      </c>
      <c r="D1337" s="10" t="s">
        <v>263</v>
      </c>
      <c r="E1337" s="6">
        <v>3</v>
      </c>
      <c r="F1337" s="24" t="s">
        <v>43</v>
      </c>
      <c r="G1337" s="24" t="s">
        <v>43</v>
      </c>
      <c r="H1337" s="24" t="s">
        <v>43</v>
      </c>
      <c r="I1337" s="24" t="s">
        <v>43</v>
      </c>
    </row>
    <row r="1338" spans="1:9" ht="40.799999999999997">
      <c r="A1338" s="21">
        <v>7</v>
      </c>
      <c r="B1338" s="21"/>
      <c r="C1338" s="12" t="s">
        <v>46</v>
      </c>
      <c r="D1338" s="10" t="s">
        <v>263</v>
      </c>
      <c r="E1338" s="6">
        <v>3</v>
      </c>
      <c r="F1338" s="24" t="s">
        <v>43</v>
      </c>
      <c r="G1338" s="24" t="s">
        <v>43</v>
      </c>
      <c r="H1338" s="24" t="s">
        <v>43</v>
      </c>
      <c r="I1338" s="24" t="s">
        <v>43</v>
      </c>
    </row>
    <row r="1339" spans="1:9" ht="40.799999999999997">
      <c r="A1339" s="21">
        <v>7</v>
      </c>
      <c r="B1339" s="21"/>
      <c r="C1339" s="12" t="s">
        <v>46</v>
      </c>
      <c r="D1339" s="10" t="s">
        <v>263</v>
      </c>
      <c r="E1339" s="6">
        <v>3</v>
      </c>
      <c r="F1339" s="24" t="s">
        <v>43</v>
      </c>
      <c r="G1339" s="24" t="s">
        <v>43</v>
      </c>
      <c r="H1339" s="24" t="s">
        <v>43</v>
      </c>
      <c r="I1339" s="24" t="s">
        <v>43</v>
      </c>
    </row>
    <row r="1340" spans="1:9" ht="40.799999999999997">
      <c r="A1340" s="21">
        <v>7</v>
      </c>
      <c r="B1340" s="21"/>
      <c r="C1340" s="12" t="s">
        <v>46</v>
      </c>
      <c r="D1340" s="10" t="s">
        <v>263</v>
      </c>
      <c r="E1340" s="6">
        <v>3</v>
      </c>
      <c r="F1340" s="24" t="s">
        <v>43</v>
      </c>
      <c r="G1340" s="24" t="s">
        <v>43</v>
      </c>
      <c r="H1340" s="24" t="s">
        <v>43</v>
      </c>
      <c r="I1340" s="24" t="s">
        <v>43</v>
      </c>
    </row>
    <row r="1341" spans="1:9" ht="40.799999999999997">
      <c r="A1341" s="21">
        <v>7</v>
      </c>
      <c r="B1341" s="21"/>
      <c r="C1341" s="12" t="s">
        <v>46</v>
      </c>
      <c r="D1341" s="10" t="s">
        <v>263</v>
      </c>
      <c r="E1341" s="6">
        <v>3</v>
      </c>
      <c r="F1341" s="24" t="s">
        <v>43</v>
      </c>
      <c r="G1341" s="24" t="s">
        <v>43</v>
      </c>
      <c r="H1341" s="24" t="s">
        <v>43</v>
      </c>
      <c r="I1341" s="24" t="s">
        <v>43</v>
      </c>
    </row>
    <row r="1342" spans="1:9" ht="40.799999999999997">
      <c r="A1342" s="21">
        <v>7</v>
      </c>
      <c r="B1342" s="21"/>
      <c r="C1342" s="12" t="s">
        <v>46</v>
      </c>
      <c r="D1342" s="10" t="s">
        <v>263</v>
      </c>
      <c r="E1342" s="6">
        <v>3</v>
      </c>
      <c r="F1342" s="24" t="s">
        <v>43</v>
      </c>
      <c r="G1342" s="24" t="s">
        <v>43</v>
      </c>
      <c r="H1342" s="24" t="s">
        <v>43</v>
      </c>
      <c r="I1342" s="24" t="s">
        <v>43</v>
      </c>
    </row>
    <row r="1343" spans="1:9" ht="40.799999999999997">
      <c r="A1343" s="21">
        <v>7</v>
      </c>
      <c r="B1343" s="21"/>
      <c r="C1343" s="12" t="s">
        <v>46</v>
      </c>
      <c r="D1343" s="10" t="s">
        <v>263</v>
      </c>
      <c r="E1343" s="6">
        <v>3</v>
      </c>
      <c r="F1343" s="24" t="s">
        <v>43</v>
      </c>
      <c r="G1343" s="24" t="s">
        <v>43</v>
      </c>
      <c r="H1343" s="24" t="s">
        <v>43</v>
      </c>
      <c r="I1343" s="24" t="s">
        <v>43</v>
      </c>
    </row>
    <row r="1344" spans="1:9" ht="40.799999999999997">
      <c r="A1344" s="21">
        <v>7</v>
      </c>
      <c r="B1344" s="21"/>
      <c r="C1344" s="12" t="s">
        <v>46</v>
      </c>
      <c r="D1344" s="10" t="s">
        <v>263</v>
      </c>
      <c r="E1344" s="6">
        <v>3</v>
      </c>
      <c r="F1344" s="24" t="s">
        <v>43</v>
      </c>
      <c r="G1344" s="24" t="s">
        <v>43</v>
      </c>
      <c r="H1344" s="24" t="s">
        <v>43</v>
      </c>
      <c r="I1344" s="24" t="s">
        <v>43</v>
      </c>
    </row>
    <row r="1345" spans="1:9" ht="40.799999999999997">
      <c r="A1345" s="21">
        <v>7</v>
      </c>
      <c r="B1345" s="21"/>
      <c r="C1345" s="12" t="s">
        <v>46</v>
      </c>
      <c r="D1345" s="10" t="s">
        <v>263</v>
      </c>
      <c r="E1345" s="6">
        <v>3</v>
      </c>
      <c r="F1345" s="24" t="s">
        <v>43</v>
      </c>
      <c r="G1345" s="24" t="s">
        <v>43</v>
      </c>
      <c r="H1345" s="24" t="s">
        <v>43</v>
      </c>
      <c r="I1345" s="24" t="s">
        <v>43</v>
      </c>
    </row>
    <row r="1346" spans="1:9" ht="40.799999999999997">
      <c r="A1346" s="21">
        <v>7</v>
      </c>
      <c r="B1346" s="21"/>
      <c r="C1346" s="12" t="s">
        <v>46</v>
      </c>
      <c r="D1346" s="10" t="s">
        <v>263</v>
      </c>
      <c r="E1346" s="6">
        <v>3</v>
      </c>
      <c r="F1346" s="24" t="s">
        <v>43</v>
      </c>
      <c r="G1346" s="24" t="s">
        <v>43</v>
      </c>
      <c r="H1346" s="24" t="s">
        <v>43</v>
      </c>
      <c r="I1346" s="24" t="s">
        <v>43</v>
      </c>
    </row>
    <row r="1347" spans="1:9" ht="40.799999999999997">
      <c r="A1347" s="21">
        <v>7</v>
      </c>
      <c r="B1347" s="21"/>
      <c r="C1347" s="12" t="s">
        <v>46</v>
      </c>
      <c r="D1347" s="10" t="s">
        <v>263</v>
      </c>
      <c r="E1347" s="6">
        <v>3</v>
      </c>
      <c r="F1347" s="24" t="s">
        <v>43</v>
      </c>
      <c r="G1347" s="24" t="s">
        <v>43</v>
      </c>
      <c r="H1347" s="24" t="s">
        <v>43</v>
      </c>
      <c r="I1347" s="24" t="s">
        <v>43</v>
      </c>
    </row>
    <row r="1348" spans="1:9" ht="40.799999999999997">
      <c r="A1348" s="21">
        <v>7</v>
      </c>
      <c r="B1348" s="21"/>
      <c r="C1348" s="12" t="s">
        <v>46</v>
      </c>
      <c r="D1348" s="10" t="s">
        <v>263</v>
      </c>
      <c r="E1348" s="6">
        <v>3</v>
      </c>
      <c r="F1348" s="24" t="s">
        <v>43</v>
      </c>
      <c r="G1348" s="24" t="s">
        <v>43</v>
      </c>
      <c r="H1348" s="24" t="s">
        <v>43</v>
      </c>
      <c r="I1348" s="24" t="s">
        <v>43</v>
      </c>
    </row>
    <row r="1349" spans="1:9" ht="40.799999999999997">
      <c r="A1349" s="21">
        <v>7</v>
      </c>
      <c r="B1349" s="21"/>
      <c r="C1349" s="12" t="s">
        <v>46</v>
      </c>
      <c r="D1349" s="10" t="s">
        <v>263</v>
      </c>
      <c r="E1349" s="6">
        <v>3</v>
      </c>
      <c r="F1349" s="24" t="s">
        <v>43</v>
      </c>
      <c r="G1349" s="24" t="s">
        <v>43</v>
      </c>
      <c r="H1349" s="24" t="s">
        <v>43</v>
      </c>
      <c r="I1349" s="24" t="s">
        <v>43</v>
      </c>
    </row>
    <row r="1350" spans="1:9" ht="40.799999999999997">
      <c r="A1350" s="21">
        <v>7</v>
      </c>
      <c r="B1350" s="21"/>
      <c r="C1350" s="12" t="s">
        <v>46</v>
      </c>
      <c r="D1350" s="10" t="s">
        <v>263</v>
      </c>
      <c r="E1350" s="6">
        <v>3</v>
      </c>
      <c r="F1350" s="24" t="s">
        <v>43</v>
      </c>
      <c r="G1350" s="24" t="s">
        <v>43</v>
      </c>
      <c r="H1350" s="24" t="s">
        <v>43</v>
      </c>
      <c r="I1350" s="24" t="s">
        <v>43</v>
      </c>
    </row>
    <row r="1351" spans="1:9" ht="40.799999999999997">
      <c r="A1351" s="21">
        <v>7</v>
      </c>
      <c r="B1351" s="21"/>
      <c r="C1351" s="12" t="s">
        <v>46</v>
      </c>
      <c r="D1351" s="10" t="s">
        <v>263</v>
      </c>
      <c r="E1351" s="6">
        <v>3</v>
      </c>
      <c r="F1351" s="24" t="s">
        <v>43</v>
      </c>
      <c r="G1351" s="24" t="s">
        <v>43</v>
      </c>
      <c r="H1351" s="24" t="s">
        <v>43</v>
      </c>
      <c r="I1351" s="24" t="s">
        <v>43</v>
      </c>
    </row>
    <row r="1352" spans="1:9" ht="40.799999999999997">
      <c r="A1352" s="21">
        <v>7</v>
      </c>
      <c r="B1352" s="21"/>
      <c r="C1352" s="12" t="s">
        <v>46</v>
      </c>
      <c r="D1352" s="10" t="s">
        <v>263</v>
      </c>
      <c r="E1352" s="6">
        <v>3</v>
      </c>
      <c r="F1352" s="24" t="s">
        <v>43</v>
      </c>
      <c r="G1352" s="24" t="s">
        <v>43</v>
      </c>
      <c r="H1352" s="24" t="s">
        <v>43</v>
      </c>
      <c r="I1352" s="24" t="s">
        <v>43</v>
      </c>
    </row>
    <row r="1353" spans="1:9" ht="40.799999999999997">
      <c r="A1353" s="21">
        <v>7</v>
      </c>
      <c r="B1353" s="21"/>
      <c r="C1353" s="12" t="s">
        <v>46</v>
      </c>
      <c r="D1353" s="10" t="s">
        <v>263</v>
      </c>
      <c r="E1353" s="6">
        <v>3</v>
      </c>
      <c r="F1353" s="24" t="s">
        <v>43</v>
      </c>
      <c r="G1353" s="24" t="s">
        <v>43</v>
      </c>
      <c r="H1353" s="24" t="s">
        <v>43</v>
      </c>
      <c r="I1353" s="24" t="s">
        <v>43</v>
      </c>
    </row>
    <row r="1354" spans="1:9" ht="40.799999999999997">
      <c r="A1354" s="21">
        <v>7</v>
      </c>
      <c r="B1354" s="21"/>
      <c r="C1354" s="12" t="s">
        <v>46</v>
      </c>
      <c r="D1354" s="10" t="s">
        <v>263</v>
      </c>
      <c r="E1354" s="6">
        <v>3</v>
      </c>
      <c r="F1354" s="24" t="s">
        <v>43</v>
      </c>
      <c r="G1354" s="24" t="s">
        <v>43</v>
      </c>
      <c r="H1354" s="24" t="s">
        <v>43</v>
      </c>
      <c r="I1354" s="24" t="s">
        <v>43</v>
      </c>
    </row>
    <row r="1355" spans="1:9" ht="40.799999999999997">
      <c r="A1355" s="21">
        <v>7</v>
      </c>
      <c r="B1355" s="21"/>
      <c r="C1355" s="12" t="s">
        <v>46</v>
      </c>
      <c r="D1355" s="10" t="s">
        <v>263</v>
      </c>
      <c r="E1355" s="6">
        <v>3</v>
      </c>
      <c r="F1355" s="24" t="s">
        <v>43</v>
      </c>
      <c r="G1355" s="24" t="s">
        <v>43</v>
      </c>
      <c r="H1355" s="24" t="s">
        <v>43</v>
      </c>
      <c r="I1355" s="24" t="s">
        <v>43</v>
      </c>
    </row>
    <row r="1356" spans="1:9" ht="40.799999999999997">
      <c r="A1356" s="21">
        <v>7</v>
      </c>
      <c r="B1356" s="21"/>
      <c r="C1356" s="12" t="s">
        <v>46</v>
      </c>
      <c r="D1356" s="10" t="s">
        <v>263</v>
      </c>
      <c r="E1356" s="6">
        <v>3</v>
      </c>
      <c r="F1356" s="24" t="s">
        <v>43</v>
      </c>
      <c r="G1356" s="24" t="s">
        <v>43</v>
      </c>
      <c r="H1356" s="24" t="s">
        <v>43</v>
      </c>
      <c r="I1356" s="24" t="s">
        <v>43</v>
      </c>
    </row>
    <row r="1357" spans="1:9" ht="40.799999999999997">
      <c r="A1357" s="21">
        <v>7</v>
      </c>
      <c r="B1357" s="21"/>
      <c r="C1357" s="12" t="s">
        <v>46</v>
      </c>
      <c r="D1357" s="10" t="s">
        <v>263</v>
      </c>
      <c r="E1357" s="6">
        <v>3</v>
      </c>
      <c r="F1357" s="24" t="s">
        <v>43</v>
      </c>
      <c r="G1357" s="24" t="s">
        <v>43</v>
      </c>
      <c r="H1357" s="24" t="s">
        <v>43</v>
      </c>
      <c r="I1357" s="24" t="s">
        <v>43</v>
      </c>
    </row>
    <row r="1358" spans="1:9" ht="40.799999999999997">
      <c r="A1358" s="21">
        <v>7</v>
      </c>
      <c r="B1358" s="21"/>
      <c r="C1358" s="12" t="s">
        <v>46</v>
      </c>
      <c r="D1358" s="10" t="s">
        <v>263</v>
      </c>
      <c r="E1358" s="6">
        <v>3</v>
      </c>
      <c r="F1358" s="24" t="s">
        <v>43</v>
      </c>
      <c r="G1358" s="24" t="s">
        <v>43</v>
      </c>
      <c r="H1358" s="24" t="s">
        <v>43</v>
      </c>
      <c r="I1358" s="24" t="s">
        <v>43</v>
      </c>
    </row>
    <row r="1359" spans="1:9" ht="40.799999999999997">
      <c r="A1359" s="21">
        <v>7</v>
      </c>
      <c r="B1359" s="21"/>
      <c r="C1359" s="12" t="s">
        <v>46</v>
      </c>
      <c r="D1359" s="10" t="s">
        <v>263</v>
      </c>
      <c r="E1359" s="6">
        <v>3</v>
      </c>
      <c r="F1359" s="24" t="s">
        <v>43</v>
      </c>
      <c r="G1359" s="24" t="s">
        <v>43</v>
      </c>
      <c r="H1359" s="24" t="s">
        <v>43</v>
      </c>
      <c r="I1359" s="24" t="s">
        <v>43</v>
      </c>
    </row>
    <row r="1360" spans="1:9" ht="40.799999999999997">
      <c r="A1360" s="21">
        <v>7</v>
      </c>
      <c r="B1360" s="21"/>
      <c r="C1360" s="12" t="s">
        <v>46</v>
      </c>
      <c r="D1360" s="10" t="s">
        <v>263</v>
      </c>
      <c r="E1360" s="6">
        <v>3</v>
      </c>
      <c r="F1360" s="24" t="s">
        <v>43</v>
      </c>
      <c r="G1360" s="24" t="s">
        <v>43</v>
      </c>
      <c r="H1360" s="24" t="s">
        <v>43</v>
      </c>
      <c r="I1360" s="24" t="s">
        <v>43</v>
      </c>
    </row>
    <row r="1361" spans="1:9" ht="40.799999999999997">
      <c r="A1361" s="21">
        <v>7</v>
      </c>
      <c r="B1361" s="21"/>
      <c r="C1361" s="12" t="s">
        <v>46</v>
      </c>
      <c r="D1361" s="10" t="s">
        <v>263</v>
      </c>
      <c r="E1361" s="6">
        <v>3</v>
      </c>
      <c r="F1361" s="24" t="s">
        <v>43</v>
      </c>
      <c r="G1361" s="24" t="s">
        <v>43</v>
      </c>
      <c r="H1361" s="24" t="s">
        <v>43</v>
      </c>
      <c r="I1361" s="24" t="s">
        <v>43</v>
      </c>
    </row>
    <row r="1362" spans="1:9" ht="40.799999999999997">
      <c r="A1362" s="21">
        <v>7</v>
      </c>
      <c r="B1362" s="21"/>
      <c r="C1362" s="12" t="s">
        <v>46</v>
      </c>
      <c r="D1362" s="10" t="s">
        <v>263</v>
      </c>
      <c r="E1362" s="6">
        <v>3</v>
      </c>
      <c r="F1362" s="24" t="s">
        <v>43</v>
      </c>
      <c r="G1362" s="24" t="s">
        <v>43</v>
      </c>
      <c r="H1362" s="24" t="s">
        <v>43</v>
      </c>
      <c r="I1362" s="24" t="s">
        <v>43</v>
      </c>
    </row>
    <row r="1363" spans="1:9" ht="40.799999999999997">
      <c r="A1363" s="21">
        <v>7</v>
      </c>
      <c r="B1363" s="21"/>
      <c r="C1363" s="12" t="s">
        <v>46</v>
      </c>
      <c r="D1363" s="10" t="s">
        <v>263</v>
      </c>
      <c r="E1363" s="6">
        <v>3</v>
      </c>
      <c r="F1363" s="24" t="s">
        <v>43</v>
      </c>
      <c r="G1363" s="24" t="s">
        <v>43</v>
      </c>
      <c r="H1363" s="24" t="s">
        <v>43</v>
      </c>
      <c r="I1363" s="24" t="s">
        <v>43</v>
      </c>
    </row>
    <row r="1364" spans="1:9" ht="40.799999999999997">
      <c r="A1364" s="21">
        <v>7</v>
      </c>
      <c r="B1364" s="21"/>
      <c r="C1364" s="12" t="s">
        <v>46</v>
      </c>
      <c r="D1364" s="10" t="s">
        <v>263</v>
      </c>
      <c r="E1364" s="6">
        <v>3</v>
      </c>
      <c r="F1364" s="24" t="s">
        <v>43</v>
      </c>
      <c r="G1364" s="24" t="s">
        <v>43</v>
      </c>
      <c r="H1364" s="24" t="s">
        <v>43</v>
      </c>
      <c r="I1364" s="24" t="s">
        <v>43</v>
      </c>
    </row>
    <row r="1365" spans="1:9" ht="40.799999999999997">
      <c r="A1365" s="21">
        <v>7</v>
      </c>
      <c r="B1365" s="21"/>
      <c r="C1365" s="12" t="s">
        <v>46</v>
      </c>
      <c r="D1365" s="10" t="s">
        <v>263</v>
      </c>
      <c r="E1365" s="6">
        <v>3</v>
      </c>
      <c r="F1365" s="24" t="s">
        <v>43</v>
      </c>
      <c r="G1365" s="24" t="s">
        <v>43</v>
      </c>
      <c r="H1365" s="24" t="s">
        <v>43</v>
      </c>
      <c r="I1365" s="24" t="s">
        <v>43</v>
      </c>
    </row>
    <row r="1366" spans="1:9" ht="40.799999999999997">
      <c r="A1366" s="21">
        <v>7</v>
      </c>
      <c r="B1366" s="21"/>
      <c r="C1366" s="12" t="s">
        <v>46</v>
      </c>
      <c r="D1366" s="10" t="s">
        <v>263</v>
      </c>
      <c r="E1366" s="6">
        <v>3</v>
      </c>
      <c r="F1366" s="24" t="s">
        <v>43</v>
      </c>
      <c r="G1366" s="24" t="s">
        <v>43</v>
      </c>
      <c r="H1366" s="24" t="s">
        <v>43</v>
      </c>
      <c r="I1366" s="24" t="s">
        <v>43</v>
      </c>
    </row>
    <row r="1367" spans="1:9" ht="40.799999999999997">
      <c r="A1367" s="21">
        <v>7</v>
      </c>
      <c r="B1367" s="21"/>
      <c r="C1367" s="12" t="s">
        <v>46</v>
      </c>
      <c r="D1367" s="10" t="s">
        <v>263</v>
      </c>
      <c r="E1367" s="6">
        <v>3</v>
      </c>
      <c r="F1367" s="24" t="s">
        <v>43</v>
      </c>
      <c r="G1367" s="24" t="s">
        <v>43</v>
      </c>
      <c r="H1367" s="24" t="s">
        <v>43</v>
      </c>
      <c r="I1367" s="24" t="s">
        <v>43</v>
      </c>
    </row>
    <row r="1368" spans="1:9" ht="40.799999999999997">
      <c r="A1368" s="21">
        <v>7</v>
      </c>
      <c r="B1368" s="21"/>
      <c r="C1368" s="12" t="s">
        <v>46</v>
      </c>
      <c r="D1368" s="10" t="s">
        <v>263</v>
      </c>
      <c r="E1368" s="6">
        <v>3</v>
      </c>
      <c r="F1368" s="24" t="s">
        <v>43</v>
      </c>
      <c r="G1368" s="24" t="s">
        <v>43</v>
      </c>
      <c r="H1368" s="24" t="s">
        <v>43</v>
      </c>
      <c r="I1368" s="24" t="s">
        <v>43</v>
      </c>
    </row>
    <row r="1369" spans="1:9">
      <c r="A1369" s="28">
        <v>8</v>
      </c>
      <c r="B1369" s="28"/>
      <c r="C1369" s="7" t="s">
        <v>214</v>
      </c>
      <c r="D1369" s="7" t="s">
        <v>264</v>
      </c>
      <c r="E1369" s="170"/>
      <c r="F1369" s="171"/>
      <c r="G1369" s="171"/>
    </row>
    <row r="1783" ht="12.75" customHeight="1"/>
    <row r="1784" ht="12.75" customHeight="1"/>
    <row r="1785" ht="12.75" customHeight="1"/>
    <row r="1786" ht="12.75" customHeight="1"/>
    <row r="1787" ht="12.75" customHeight="1"/>
    <row r="1788" ht="12.75" customHeight="1"/>
    <row r="1789" ht="12.75" customHeight="1"/>
    <row r="1790" ht="12.75" customHeight="1"/>
    <row r="1791" ht="12.75" customHeight="1"/>
    <row r="1792" ht="12.75" customHeight="1"/>
    <row r="1793" ht="12.75" customHeight="1"/>
    <row r="1794" ht="12.75" customHeight="1"/>
    <row r="1795" ht="12.75" customHeight="1"/>
    <row r="1796" ht="12.75" customHeight="1"/>
    <row r="1797" ht="12.75" customHeight="1"/>
    <row r="1798" ht="12.75" customHeight="1"/>
    <row r="1799" ht="12.75" customHeight="1"/>
    <row r="1800" ht="12.75" customHeight="1"/>
    <row r="1801" ht="12.75" customHeight="1"/>
    <row r="1802" ht="12.75" customHeight="1"/>
    <row r="1803" ht="12.75" customHeight="1"/>
    <row r="1804" ht="12.75" customHeight="1"/>
    <row r="1805" ht="12.75" customHeight="1"/>
    <row r="1806" ht="12.75" customHeight="1"/>
    <row r="1807" ht="12.75" customHeight="1"/>
    <row r="1808" ht="12.75" customHeight="1"/>
    <row r="1809" ht="12.75" customHeight="1"/>
    <row r="1810" ht="12.75" customHeight="1"/>
    <row r="1811" ht="12.75" customHeight="1"/>
    <row r="1812" ht="12.75" customHeight="1"/>
    <row r="1813" ht="12.75" customHeight="1"/>
    <row r="1814" ht="12.75" customHeight="1"/>
    <row r="1815" ht="12.75" customHeight="1"/>
    <row r="1816" ht="12.75" customHeight="1"/>
    <row r="1817" ht="12.75" customHeight="1"/>
    <row r="1818" ht="12.75" customHeight="1"/>
    <row r="1819" ht="12.75" customHeight="1"/>
    <row r="1820" ht="12.75" customHeight="1"/>
    <row r="1821" ht="12.75" customHeight="1"/>
    <row r="1822" ht="12.75" customHeight="1"/>
    <row r="1823" ht="12.75" customHeight="1"/>
    <row r="1824" ht="12.75" customHeight="1"/>
    <row r="1825" ht="12.75" customHeight="1"/>
    <row r="1826" ht="12.75" customHeight="1"/>
    <row r="1827" ht="12.75" customHeight="1"/>
    <row r="1828" ht="12.75" customHeight="1"/>
    <row r="1829" ht="12.75" customHeight="1"/>
    <row r="1830" ht="12.75" customHeight="1"/>
    <row r="1831" ht="12.75" customHeight="1"/>
    <row r="1832" ht="12.75" customHeight="1"/>
    <row r="1833" ht="12.75" customHeight="1"/>
    <row r="1834" ht="12.75" customHeight="1"/>
    <row r="1835" ht="12.75" customHeight="1"/>
    <row r="1836" ht="12.75" customHeight="1"/>
    <row r="1837" ht="12.75" customHeight="1"/>
    <row r="1838" ht="12.75" customHeight="1"/>
    <row r="1839" ht="12.75" customHeight="1"/>
    <row r="1840" ht="12.75" customHeight="1"/>
    <row r="1841" ht="12.75" customHeight="1"/>
    <row r="1842" ht="12.75" customHeight="1"/>
    <row r="1843" ht="12.75" customHeight="1"/>
    <row r="1844" ht="12.75" customHeight="1"/>
    <row r="1845" ht="12.75" customHeight="1"/>
    <row r="1846" ht="12.75" customHeight="1"/>
    <row r="1847" ht="12.75" customHeight="1"/>
    <row r="1848" ht="12.75" customHeight="1"/>
    <row r="1849" ht="12.75" customHeight="1"/>
    <row r="1850" ht="12.75" customHeight="1"/>
    <row r="1851" ht="12.75" customHeight="1"/>
    <row r="1852" ht="12.75" customHeight="1"/>
    <row r="1853" ht="12.75" customHeight="1"/>
    <row r="1854" ht="12.75" customHeight="1"/>
    <row r="1855" ht="12.75" customHeight="1"/>
    <row r="1856" ht="12.75" customHeight="1"/>
    <row r="1857" ht="12.75" customHeight="1"/>
    <row r="1858" ht="12.75" customHeight="1"/>
    <row r="1859" ht="12.75" customHeight="1"/>
    <row r="1860" ht="12.75" customHeight="1"/>
    <row r="1861" ht="12.75" customHeight="1"/>
    <row r="1862" ht="12.75" customHeight="1"/>
    <row r="1863" ht="12.75" customHeight="1"/>
    <row r="1864" ht="12.75" customHeight="1"/>
    <row r="1865" ht="12.75" customHeight="1"/>
    <row r="1866" ht="12.75" customHeight="1"/>
    <row r="1867" ht="12.75" customHeight="1"/>
    <row r="1868" ht="12.75" customHeight="1"/>
    <row r="1869" ht="12.75" customHeight="1"/>
    <row r="1870" ht="12.75" customHeight="1"/>
    <row r="1871" ht="12.75" customHeight="1"/>
    <row r="1872" ht="12.75" customHeight="1"/>
    <row r="1873" ht="12.75" customHeight="1"/>
    <row r="1874" ht="12.75" customHeight="1"/>
    <row r="1875" ht="12.75" customHeight="1"/>
    <row r="1876" ht="12.75" customHeight="1"/>
    <row r="1877" ht="12.75" customHeight="1"/>
    <row r="1878" ht="12.75" customHeight="1"/>
    <row r="1879" ht="12.75" customHeight="1"/>
    <row r="1880" ht="12.75" customHeight="1"/>
    <row r="1881" ht="12.75" customHeight="1"/>
    <row r="1882" ht="12.75" customHeight="1"/>
    <row r="1883" ht="12.75" customHeight="1"/>
    <row r="1884" ht="12.75" customHeight="1"/>
    <row r="1885" ht="12.75" customHeight="1"/>
    <row r="1886" ht="12.75" customHeight="1"/>
    <row r="1887" ht="12.75" customHeight="1"/>
    <row r="1888" ht="12.75" customHeight="1"/>
    <row r="1889" ht="12.75" customHeight="1"/>
    <row r="1890" ht="12.75" customHeight="1"/>
    <row r="1891" ht="12.75" customHeight="1"/>
    <row r="1892" ht="12.75" customHeight="1"/>
    <row r="1893" ht="12.75" customHeight="1"/>
    <row r="1894" ht="12.75" customHeight="1"/>
    <row r="1895" ht="12.75" customHeight="1"/>
    <row r="1896" ht="12.75" customHeight="1"/>
    <row r="1897" ht="12.75" customHeight="1"/>
    <row r="1898" ht="12.75" customHeight="1"/>
    <row r="1899" ht="12.75" customHeight="1"/>
    <row r="1900" ht="12.75" customHeight="1"/>
    <row r="1901" ht="12.75" customHeight="1"/>
    <row r="1902" ht="12.75" customHeight="1"/>
    <row r="1903" ht="12.75" customHeight="1"/>
    <row r="1904" ht="12.75" customHeight="1"/>
    <row r="1905" ht="12.75" customHeight="1"/>
    <row r="1906" ht="12.75" customHeight="1"/>
    <row r="1907" ht="12.75" customHeight="1"/>
    <row r="1908" ht="12.75" customHeight="1"/>
    <row r="1909" ht="12.75" customHeight="1"/>
    <row r="1910" ht="12.75" customHeight="1"/>
    <row r="1911" ht="12.75" customHeight="1"/>
    <row r="1912" ht="12.75" customHeight="1"/>
    <row r="1913" ht="12.75" customHeight="1"/>
    <row r="1914" ht="12.75" customHeight="1"/>
    <row r="1915" ht="12.75" customHeight="1"/>
    <row r="1916" ht="12.75" customHeight="1"/>
    <row r="1917" ht="12.75" customHeight="1"/>
    <row r="1918" ht="12.75" customHeight="1"/>
    <row r="1919" ht="12.75" customHeight="1"/>
    <row r="1920" ht="12.75" customHeight="1"/>
    <row r="1921" ht="12.75" customHeight="1"/>
    <row r="1922" ht="12.75" customHeight="1"/>
    <row r="1923" ht="12.75" customHeight="1"/>
    <row r="1924" ht="12.75" customHeight="1"/>
    <row r="1925" ht="12.75" customHeight="1"/>
    <row r="1926" ht="12.75" customHeight="1"/>
    <row r="1927" ht="12.75" customHeight="1"/>
    <row r="1928" ht="12.75" customHeight="1"/>
    <row r="1929" ht="12.75" customHeight="1"/>
    <row r="1930" ht="12.75" customHeight="1"/>
    <row r="1931" ht="12.75" customHeight="1"/>
    <row r="1932" ht="12.75" customHeight="1"/>
    <row r="1933" ht="12.75" customHeight="1"/>
    <row r="1934" ht="12.75" customHeight="1"/>
    <row r="1935" ht="12.75" customHeight="1"/>
    <row r="1936" ht="12.75" customHeight="1"/>
    <row r="1937" ht="12.75" customHeight="1"/>
    <row r="1938" ht="12.75" customHeight="1"/>
    <row r="1939" ht="12.75" customHeight="1"/>
    <row r="1940" ht="12.75" customHeight="1"/>
    <row r="1941" ht="12.75" customHeight="1"/>
    <row r="1942" ht="12.75" customHeight="1"/>
    <row r="1943" ht="12.75" customHeight="1"/>
    <row r="1944" ht="12.75" customHeight="1"/>
    <row r="1945" ht="12.75" customHeight="1"/>
    <row r="1946" ht="12.75" customHeight="1"/>
    <row r="1947" ht="12.75" customHeight="1"/>
    <row r="1948" ht="12.75" customHeight="1"/>
    <row r="1949" ht="12.75" customHeight="1"/>
    <row r="1950" ht="12.75" customHeight="1"/>
    <row r="1951" ht="12.75" customHeight="1"/>
    <row r="1952" ht="12.75" customHeight="1"/>
    <row r="1953" ht="12.75" customHeight="1"/>
    <row r="1954" ht="12.75" customHeight="1"/>
    <row r="1955" ht="12.75" customHeight="1"/>
    <row r="1956" ht="12.75" customHeight="1"/>
    <row r="1957" ht="12.75" customHeight="1"/>
    <row r="1958" ht="12.75" customHeight="1"/>
    <row r="1959" ht="12.75" customHeight="1"/>
    <row r="1960" ht="12.75" customHeight="1"/>
    <row r="1961" ht="12.75" customHeight="1"/>
    <row r="1962" ht="12.75" customHeight="1"/>
    <row r="1963" ht="12.75" customHeight="1"/>
    <row r="1964" ht="12.75" customHeight="1"/>
    <row r="1965" ht="12.75" customHeight="1"/>
    <row r="1966" ht="12.75" customHeight="1"/>
    <row r="1967" ht="12.75" customHeight="1"/>
    <row r="1968" ht="12.75" customHeight="1"/>
    <row r="1969" ht="12.75" customHeight="1"/>
    <row r="1970" ht="12.75" customHeight="1"/>
    <row r="1971" ht="12.75" customHeight="1"/>
    <row r="1972" ht="12.75" customHeight="1"/>
    <row r="1973" ht="12.75" customHeight="1"/>
    <row r="1974" ht="12.75" customHeight="1"/>
    <row r="1975" ht="12.75" customHeight="1"/>
    <row r="1976" ht="12.75" customHeight="1"/>
    <row r="1977" ht="12.75" customHeight="1"/>
    <row r="1978" ht="12.75" customHeight="1"/>
    <row r="1979" ht="12.75" customHeight="1"/>
    <row r="1980" ht="12.75" customHeight="1"/>
    <row r="1981" ht="12.75" customHeight="1"/>
    <row r="1982" ht="12.75" customHeight="1"/>
    <row r="1983" ht="12.75" customHeight="1"/>
    <row r="1984" ht="12.75" customHeight="1"/>
    <row r="1985" ht="12.75" customHeight="1"/>
    <row r="1986" ht="12.75" customHeight="1"/>
    <row r="1987" ht="12.75" customHeight="1"/>
    <row r="1988" ht="12.75" customHeight="1"/>
    <row r="1989" ht="12.75" customHeight="1"/>
    <row r="1990" ht="12.75" customHeight="1"/>
    <row r="1991" ht="12.75" customHeight="1"/>
    <row r="1992" ht="12.75" customHeight="1"/>
    <row r="1993" ht="12.75" customHeight="1"/>
    <row r="1994" ht="12.75" customHeight="1"/>
    <row r="1995" ht="12.75" customHeight="1"/>
    <row r="1996" ht="12.75" customHeight="1"/>
    <row r="1997" ht="12.75" customHeight="1"/>
    <row r="1998" ht="12.75" customHeight="1"/>
    <row r="2313" ht="12.75" customHeight="1"/>
    <row r="2314" ht="12.75" customHeight="1"/>
    <row r="2315" ht="12.75" customHeight="1"/>
    <row r="2316" ht="12.75" customHeight="1"/>
    <row r="2330" ht="22.5" customHeight="1"/>
    <row r="2331" ht="22.5" customHeight="1"/>
    <row r="2332" ht="22.5" customHeight="1"/>
    <row r="2333" ht="22.5" customHeight="1"/>
  </sheetData>
  <mergeCells count="715">
    <mergeCell ref="I223:I225"/>
    <mergeCell ref="I226:I228"/>
    <mergeCell ref="I229:I233"/>
    <mergeCell ref="I234:I236"/>
    <mergeCell ref="I868:I869"/>
    <mergeCell ref="I871:I875"/>
    <mergeCell ref="C3:C14"/>
    <mergeCell ref="C319:D319"/>
    <mergeCell ref="C320:D320"/>
    <mergeCell ref="C321:D321"/>
    <mergeCell ref="C322:D322"/>
    <mergeCell ref="G871:G875"/>
    <mergeCell ref="C336:D336"/>
    <mergeCell ref="C337:D337"/>
    <mergeCell ref="C328:D328"/>
    <mergeCell ref="C329:D329"/>
    <mergeCell ref="C330:D330"/>
    <mergeCell ref="C331:D331"/>
    <mergeCell ref="C332:D332"/>
    <mergeCell ref="C323:D323"/>
    <mergeCell ref="C324:D324"/>
    <mergeCell ref="C325:D325"/>
    <mergeCell ref="A46:A49"/>
    <mergeCell ref="C46:C49"/>
    <mergeCell ref="A51:A59"/>
    <mergeCell ref="C51:C59"/>
    <mergeCell ref="A60:A61"/>
    <mergeCell ref="C60:C61"/>
    <mergeCell ref="A62:A67"/>
    <mergeCell ref="C62:C67"/>
    <mergeCell ref="I217:I221"/>
    <mergeCell ref="A97:A105"/>
    <mergeCell ref="C97:C105"/>
    <mergeCell ref="A107:A111"/>
    <mergeCell ref="C107:C111"/>
    <mergeCell ref="A113:A115"/>
    <mergeCell ref="C113:C115"/>
    <mergeCell ref="A68:A76"/>
    <mergeCell ref="C68:C76"/>
    <mergeCell ref="A82:A88"/>
    <mergeCell ref="C82:C88"/>
    <mergeCell ref="A91:A94"/>
    <mergeCell ref="C91:C94"/>
    <mergeCell ref="A146:A149"/>
    <mergeCell ref="C146:C149"/>
    <mergeCell ref="A155:A161"/>
    <mergeCell ref="C155:C161"/>
    <mergeCell ref="A164:A174"/>
    <mergeCell ref="C164:C174"/>
    <mergeCell ref="A117:A126"/>
    <mergeCell ref="C117:C126"/>
    <mergeCell ref="A127:A136"/>
    <mergeCell ref="C127:C136"/>
    <mergeCell ref="A137:A145"/>
    <mergeCell ref="C137:C145"/>
    <mergeCell ref="A223:A225"/>
    <mergeCell ref="C223:C225"/>
    <mergeCell ref="E223:E225"/>
    <mergeCell ref="F223:F225"/>
    <mergeCell ref="G223:G225"/>
    <mergeCell ref="A176:A180"/>
    <mergeCell ref="C176:C180"/>
    <mergeCell ref="C182:C194"/>
    <mergeCell ref="C196:C208"/>
    <mergeCell ref="A217:A221"/>
    <mergeCell ref="C217:C221"/>
    <mergeCell ref="A229:A233"/>
    <mergeCell ref="C229:C233"/>
    <mergeCell ref="E229:E233"/>
    <mergeCell ref="F229:F233"/>
    <mergeCell ref="G229:G233"/>
    <mergeCell ref="A226:A228"/>
    <mergeCell ref="C226:C228"/>
    <mergeCell ref="E226:E228"/>
    <mergeCell ref="F226:F228"/>
    <mergeCell ref="A871:A875"/>
    <mergeCell ref="C871:C875"/>
    <mergeCell ref="E871:E875"/>
    <mergeCell ref="F871:F875"/>
    <mergeCell ref="G234:G236"/>
    <mergeCell ref="C239:D239"/>
    <mergeCell ref="C275:D275"/>
    <mergeCell ref="C311:D311"/>
    <mergeCell ref="A868:A870"/>
    <mergeCell ref="C868:C870"/>
    <mergeCell ref="E868:E870"/>
    <mergeCell ref="F868:F869"/>
    <mergeCell ref="G868:G869"/>
    <mergeCell ref="C312:D312"/>
    <mergeCell ref="C313:D313"/>
    <mergeCell ref="C314:D314"/>
    <mergeCell ref="C315:D315"/>
    <mergeCell ref="C316:D316"/>
    <mergeCell ref="C317:D317"/>
    <mergeCell ref="A234:A236"/>
    <mergeCell ref="C234:C236"/>
    <mergeCell ref="E234:E236"/>
    <mergeCell ref="F234:F236"/>
    <mergeCell ref="C318:D318"/>
    <mergeCell ref="C333:D333"/>
    <mergeCell ref="C334:D334"/>
    <mergeCell ref="C335:D335"/>
    <mergeCell ref="E1369:G1369"/>
    <mergeCell ref="H217:H221"/>
    <mergeCell ref="H223:H225"/>
    <mergeCell ref="H226:H228"/>
    <mergeCell ref="H229:H233"/>
    <mergeCell ref="H234:H236"/>
    <mergeCell ref="H868:H869"/>
    <mergeCell ref="H871:H875"/>
    <mergeCell ref="G226:G228"/>
    <mergeCell ref="E217:E221"/>
    <mergeCell ref="F217:F221"/>
    <mergeCell ref="G217:G221"/>
    <mergeCell ref="C300:D300"/>
    <mergeCell ref="C303:D303"/>
    <mergeCell ref="C304:D304"/>
    <mergeCell ref="C506:D506"/>
    <mergeCell ref="C542:D542"/>
    <mergeCell ref="C578:D578"/>
    <mergeCell ref="C614:D614"/>
    <mergeCell ref="C276:D276"/>
    <mergeCell ref="C277:D277"/>
    <mergeCell ref="C278:D278"/>
    <mergeCell ref="C279:D279"/>
    <mergeCell ref="C280:D280"/>
    <mergeCell ref="C281:D281"/>
    <mergeCell ref="C282:D282"/>
    <mergeCell ref="C283:D283"/>
    <mergeCell ref="C284:D284"/>
    <mergeCell ref="C285:D285"/>
    <mergeCell ref="C286:D286"/>
    <mergeCell ref="C287:D287"/>
    <mergeCell ref="C338:D338"/>
    <mergeCell ref="C362:D362"/>
    <mergeCell ref="C398:D398"/>
    <mergeCell ref="C434:D434"/>
    <mergeCell ref="C470:D470"/>
    <mergeCell ref="C249:D249"/>
    <mergeCell ref="C250:D250"/>
    <mergeCell ref="C251:D251"/>
    <mergeCell ref="C252:D252"/>
    <mergeCell ref="C326:D326"/>
    <mergeCell ref="C327:D327"/>
    <mergeCell ref="C288:D288"/>
    <mergeCell ref="C289:D289"/>
    <mergeCell ref="C290:D290"/>
    <mergeCell ref="C291:D291"/>
    <mergeCell ref="C292:D292"/>
    <mergeCell ref="C308:D308"/>
    <mergeCell ref="C309:D309"/>
    <mergeCell ref="C310:D310"/>
    <mergeCell ref="C301:D301"/>
    <mergeCell ref="C302:D302"/>
    <mergeCell ref="C293:D293"/>
    <mergeCell ref="C294:D294"/>
    <mergeCell ref="C295:D295"/>
    <mergeCell ref="C296:D296"/>
    <mergeCell ref="C297:D297"/>
    <mergeCell ref="C306:D306"/>
    <mergeCell ref="C307:D307"/>
    <mergeCell ref="C298:D298"/>
    <mergeCell ref="C240:D240"/>
    <mergeCell ref="C241:D241"/>
    <mergeCell ref="C242:D242"/>
    <mergeCell ref="C243:D243"/>
    <mergeCell ref="C244:D244"/>
    <mergeCell ref="C245:D245"/>
    <mergeCell ref="C246:D246"/>
    <mergeCell ref="C247:D247"/>
    <mergeCell ref="C248:D248"/>
    <mergeCell ref="C305:D305"/>
    <mergeCell ref="C258:D258"/>
    <mergeCell ref="C259:D259"/>
    <mergeCell ref="C260:D260"/>
    <mergeCell ref="C261:D261"/>
    <mergeCell ref="C262:D262"/>
    <mergeCell ref="C253:D253"/>
    <mergeCell ref="C254:D254"/>
    <mergeCell ref="C255:D255"/>
    <mergeCell ref="C256:D256"/>
    <mergeCell ref="C257:D257"/>
    <mergeCell ref="C273:D273"/>
    <mergeCell ref="C274:D274"/>
    <mergeCell ref="C268:D268"/>
    <mergeCell ref="C269:D269"/>
    <mergeCell ref="C270:D270"/>
    <mergeCell ref="C271:D271"/>
    <mergeCell ref="C272:D272"/>
    <mergeCell ref="C263:D263"/>
    <mergeCell ref="C264:D264"/>
    <mergeCell ref="C265:D265"/>
    <mergeCell ref="C266:D266"/>
    <mergeCell ref="C267:D267"/>
    <mergeCell ref="C299:D299"/>
    <mergeCell ref="C615:D615"/>
    <mergeCell ref="C616:D616"/>
    <mergeCell ref="C617:D617"/>
    <mergeCell ref="C618:D618"/>
    <mergeCell ref="C619:D619"/>
    <mergeCell ref="C620:D620"/>
    <mergeCell ref="C621:D621"/>
    <mergeCell ref="C622:D622"/>
    <mergeCell ref="C579:D579"/>
    <mergeCell ref="C580:D580"/>
    <mergeCell ref="C581:D581"/>
    <mergeCell ref="C582:D582"/>
    <mergeCell ref="C583:D583"/>
    <mergeCell ref="C584:D584"/>
    <mergeCell ref="C585:D585"/>
    <mergeCell ref="C586:D586"/>
    <mergeCell ref="C587:D587"/>
    <mergeCell ref="C588:D588"/>
    <mergeCell ref="C589:D589"/>
    <mergeCell ref="C590:D590"/>
    <mergeCell ref="C591:D591"/>
    <mergeCell ref="C592:D592"/>
    <mergeCell ref="C593:D593"/>
    <mergeCell ref="C623:D623"/>
    <mergeCell ref="C624:D624"/>
    <mergeCell ref="C625:D625"/>
    <mergeCell ref="C626:D626"/>
    <mergeCell ref="C627:D627"/>
    <mergeCell ref="C628:D628"/>
    <mergeCell ref="C629:D629"/>
    <mergeCell ref="C630:D630"/>
    <mergeCell ref="C631:D631"/>
    <mergeCell ref="C632:D632"/>
    <mergeCell ref="C633:D633"/>
    <mergeCell ref="C634:D634"/>
    <mergeCell ref="C635:D635"/>
    <mergeCell ref="C636:D636"/>
    <mergeCell ref="C637:D637"/>
    <mergeCell ref="C638:D638"/>
    <mergeCell ref="C639:D639"/>
    <mergeCell ref="C640:D640"/>
    <mergeCell ref="C641:D641"/>
    <mergeCell ref="C642:D642"/>
    <mergeCell ref="C643:D643"/>
    <mergeCell ref="C651:D651"/>
    <mergeCell ref="C687:D687"/>
    <mergeCell ref="C723:D723"/>
    <mergeCell ref="C759:D759"/>
    <mergeCell ref="C795:D795"/>
    <mergeCell ref="C831:D831"/>
    <mergeCell ref="C761:D761"/>
    <mergeCell ref="C762:D762"/>
    <mergeCell ref="C763:D763"/>
    <mergeCell ref="C764:D764"/>
    <mergeCell ref="C765:D765"/>
    <mergeCell ref="C766:D766"/>
    <mergeCell ref="C767:D767"/>
    <mergeCell ref="C768:D768"/>
    <mergeCell ref="C769:D769"/>
    <mergeCell ref="C770:D770"/>
    <mergeCell ref="C771:D771"/>
    <mergeCell ref="C772:D772"/>
    <mergeCell ref="C773:D773"/>
    <mergeCell ref="C774:D774"/>
    <mergeCell ref="C775:D775"/>
    <mergeCell ref="C594:D594"/>
    <mergeCell ref="C595:D595"/>
    <mergeCell ref="C596:D596"/>
    <mergeCell ref="C597:D597"/>
    <mergeCell ref="C598:D598"/>
    <mergeCell ref="C599:D599"/>
    <mergeCell ref="C600:D600"/>
    <mergeCell ref="C601:D601"/>
    <mergeCell ref="C602:D602"/>
    <mergeCell ref="C603:D603"/>
    <mergeCell ref="C604:D604"/>
    <mergeCell ref="C605:D605"/>
    <mergeCell ref="C606:D606"/>
    <mergeCell ref="C607:D607"/>
    <mergeCell ref="C608:D608"/>
    <mergeCell ref="C609:D609"/>
    <mergeCell ref="C610:D610"/>
    <mergeCell ref="C611:D611"/>
    <mergeCell ref="C612:D612"/>
    <mergeCell ref="C613:D613"/>
    <mergeCell ref="C543:D543"/>
    <mergeCell ref="C544:D544"/>
    <mergeCell ref="C545:D545"/>
    <mergeCell ref="C546:D546"/>
    <mergeCell ref="C547:D547"/>
    <mergeCell ref="C548:D548"/>
    <mergeCell ref="C549:D549"/>
    <mergeCell ref="C550:D550"/>
    <mergeCell ref="C551:D551"/>
    <mergeCell ref="C552:D552"/>
    <mergeCell ref="C553:D553"/>
    <mergeCell ref="C554:D554"/>
    <mergeCell ref="C555:D555"/>
    <mergeCell ref="C556:D556"/>
    <mergeCell ref="C557:D557"/>
    <mergeCell ref="C558:D558"/>
    <mergeCell ref="C559:D559"/>
    <mergeCell ref="C560:D560"/>
    <mergeCell ref="C561:D561"/>
    <mergeCell ref="C562:D562"/>
    <mergeCell ref="C563:D563"/>
    <mergeCell ref="C564:D564"/>
    <mergeCell ref="C565:D565"/>
    <mergeCell ref="C566:D566"/>
    <mergeCell ref="C567:D567"/>
    <mergeCell ref="C568:D568"/>
    <mergeCell ref="C569:D569"/>
    <mergeCell ref="C570:D570"/>
    <mergeCell ref="C571:D571"/>
    <mergeCell ref="C572:D572"/>
    <mergeCell ref="C573:D573"/>
    <mergeCell ref="C574:D574"/>
    <mergeCell ref="C575:D575"/>
    <mergeCell ref="C576:D576"/>
    <mergeCell ref="C577:D577"/>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C523:D523"/>
    <mergeCell ref="C524:D524"/>
    <mergeCell ref="C525:D525"/>
    <mergeCell ref="C526:D526"/>
    <mergeCell ref="C527:D527"/>
    <mergeCell ref="C528:D528"/>
    <mergeCell ref="C529:D529"/>
    <mergeCell ref="C530:D530"/>
    <mergeCell ref="C531:D531"/>
    <mergeCell ref="C532:D532"/>
    <mergeCell ref="C533:D533"/>
    <mergeCell ref="C534:D534"/>
    <mergeCell ref="C535:D535"/>
    <mergeCell ref="C536:D536"/>
    <mergeCell ref="C537:D537"/>
    <mergeCell ref="C538:D538"/>
    <mergeCell ref="C539:D539"/>
    <mergeCell ref="C540:D540"/>
    <mergeCell ref="C541:D541"/>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832:D832"/>
    <mergeCell ref="C833:D833"/>
    <mergeCell ref="C834:D834"/>
    <mergeCell ref="C835:D835"/>
    <mergeCell ref="C836:D836"/>
    <mergeCell ref="C817:D817"/>
    <mergeCell ref="C818:D818"/>
    <mergeCell ref="C819:D819"/>
    <mergeCell ref="C820:D820"/>
    <mergeCell ref="C821:D821"/>
    <mergeCell ref="C822:D822"/>
    <mergeCell ref="C823:D823"/>
    <mergeCell ref="C824:D824"/>
    <mergeCell ref="C825:D825"/>
    <mergeCell ref="C826:D826"/>
    <mergeCell ref="C827:D827"/>
    <mergeCell ref="C828:D828"/>
    <mergeCell ref="C829:D829"/>
    <mergeCell ref="C830:D830"/>
    <mergeCell ref="C760:D760"/>
    <mergeCell ref="C837:D837"/>
    <mergeCell ref="C838:D838"/>
    <mergeCell ref="C839:D839"/>
    <mergeCell ref="C840:D840"/>
    <mergeCell ref="C841:D841"/>
    <mergeCell ref="C842:D842"/>
    <mergeCell ref="C843:D843"/>
    <mergeCell ref="C844:D844"/>
    <mergeCell ref="C845:D845"/>
    <mergeCell ref="C846:D846"/>
    <mergeCell ref="C847:D847"/>
    <mergeCell ref="C848:D848"/>
    <mergeCell ref="C849:D849"/>
    <mergeCell ref="C850:D850"/>
    <mergeCell ref="C851:D851"/>
    <mergeCell ref="C852:D852"/>
    <mergeCell ref="C853:D853"/>
    <mergeCell ref="C854:D854"/>
    <mergeCell ref="C855:D855"/>
    <mergeCell ref="C856:D856"/>
    <mergeCell ref="C857:D857"/>
    <mergeCell ref="C858:D858"/>
    <mergeCell ref="C859:D859"/>
    <mergeCell ref="C860:D860"/>
    <mergeCell ref="C861:D861"/>
    <mergeCell ref="C862:D862"/>
    <mergeCell ref="C863:D863"/>
    <mergeCell ref="C864:D864"/>
    <mergeCell ref="C865:D865"/>
    <mergeCell ref="C866:D866"/>
    <mergeCell ref="C796:D796"/>
    <mergeCell ref="C797:D797"/>
    <mergeCell ref="C798:D798"/>
    <mergeCell ref="C799:D799"/>
    <mergeCell ref="C800:D800"/>
    <mergeCell ref="C801:D801"/>
    <mergeCell ref="C802:D802"/>
    <mergeCell ref="C803:D803"/>
    <mergeCell ref="C804:D804"/>
    <mergeCell ref="C805:D805"/>
    <mergeCell ref="C806:D806"/>
    <mergeCell ref="C807:D807"/>
    <mergeCell ref="C808:D808"/>
    <mergeCell ref="C809:D809"/>
    <mergeCell ref="C810:D810"/>
    <mergeCell ref="C811:D811"/>
    <mergeCell ref="C812:D812"/>
    <mergeCell ref="C813:D813"/>
    <mergeCell ref="C814:D814"/>
    <mergeCell ref="C815:D815"/>
    <mergeCell ref="C816:D816"/>
    <mergeCell ref="C776:D776"/>
    <mergeCell ref="C777:D777"/>
    <mergeCell ref="C778:D778"/>
    <mergeCell ref="C779:D779"/>
    <mergeCell ref="C780:D780"/>
    <mergeCell ref="C781:D781"/>
    <mergeCell ref="C782:D782"/>
    <mergeCell ref="C783:D783"/>
    <mergeCell ref="C784:D784"/>
    <mergeCell ref="C785:D785"/>
    <mergeCell ref="C786:D786"/>
    <mergeCell ref="C787:D787"/>
    <mergeCell ref="C788:D788"/>
    <mergeCell ref="C789:D789"/>
    <mergeCell ref="C790:D790"/>
    <mergeCell ref="C791:D791"/>
    <mergeCell ref="C792:D792"/>
    <mergeCell ref="C793:D793"/>
    <mergeCell ref="C794:D794"/>
    <mergeCell ref="C724:D724"/>
    <mergeCell ref="C725:D725"/>
    <mergeCell ref="C726:D726"/>
    <mergeCell ref="C727:D727"/>
    <mergeCell ref="C728:D728"/>
    <mergeCell ref="C729:D729"/>
    <mergeCell ref="C730:D730"/>
    <mergeCell ref="C731:D731"/>
    <mergeCell ref="C732:D732"/>
    <mergeCell ref="C733:D733"/>
    <mergeCell ref="C734:D734"/>
    <mergeCell ref="C735:D735"/>
    <mergeCell ref="C736:D736"/>
    <mergeCell ref="C737:D737"/>
    <mergeCell ref="C738:D738"/>
    <mergeCell ref="C739:D739"/>
    <mergeCell ref="C740:D740"/>
    <mergeCell ref="C741:D741"/>
    <mergeCell ref="C742:D742"/>
    <mergeCell ref="C743:D743"/>
    <mergeCell ref="C744:D744"/>
    <mergeCell ref="C745:D745"/>
    <mergeCell ref="C746:D746"/>
    <mergeCell ref="C747:D747"/>
    <mergeCell ref="C748:D748"/>
    <mergeCell ref="C749:D749"/>
    <mergeCell ref="C750:D750"/>
    <mergeCell ref="C751:D751"/>
    <mergeCell ref="C752:D752"/>
    <mergeCell ref="C753:D753"/>
    <mergeCell ref="C754:D754"/>
    <mergeCell ref="C755:D755"/>
    <mergeCell ref="C756:D756"/>
    <mergeCell ref="C757:D757"/>
    <mergeCell ref="C758:D758"/>
    <mergeCell ref="C688:D688"/>
    <mergeCell ref="C689:D689"/>
    <mergeCell ref="C690:D690"/>
    <mergeCell ref="C691:D691"/>
    <mergeCell ref="C692:D692"/>
    <mergeCell ref="C693:D693"/>
    <mergeCell ref="C694:D694"/>
    <mergeCell ref="C695:D695"/>
    <mergeCell ref="C696:D696"/>
    <mergeCell ref="C697:D697"/>
    <mergeCell ref="C698:D698"/>
    <mergeCell ref="C699:D699"/>
    <mergeCell ref="C700:D700"/>
    <mergeCell ref="C701:D701"/>
    <mergeCell ref="C702:D702"/>
    <mergeCell ref="C703:D703"/>
    <mergeCell ref="C704:D704"/>
    <mergeCell ref="C705:D705"/>
    <mergeCell ref="C706:D706"/>
    <mergeCell ref="C707:D707"/>
    <mergeCell ref="C708:D708"/>
    <mergeCell ref="C709:D709"/>
    <mergeCell ref="C710:D710"/>
    <mergeCell ref="C711:D711"/>
    <mergeCell ref="C712:D712"/>
    <mergeCell ref="C713:D713"/>
    <mergeCell ref="C714:D714"/>
    <mergeCell ref="C715:D715"/>
    <mergeCell ref="C716:D716"/>
    <mergeCell ref="C717:D717"/>
    <mergeCell ref="C718:D718"/>
    <mergeCell ref="C719:D719"/>
    <mergeCell ref="C720:D720"/>
    <mergeCell ref="C721:D721"/>
    <mergeCell ref="C722:D722"/>
    <mergeCell ref="C652:D652"/>
    <mergeCell ref="C653:D653"/>
    <mergeCell ref="C654:D654"/>
    <mergeCell ref="C655:D655"/>
    <mergeCell ref="C656:D656"/>
    <mergeCell ref="C657:D657"/>
    <mergeCell ref="C658:D658"/>
    <mergeCell ref="C659:D659"/>
    <mergeCell ref="C660:D660"/>
    <mergeCell ref="C661:D661"/>
    <mergeCell ref="C662:D662"/>
    <mergeCell ref="C663:D663"/>
    <mergeCell ref="C664:D664"/>
    <mergeCell ref="C665:D665"/>
    <mergeCell ref="C666:D666"/>
    <mergeCell ref="C667:D667"/>
    <mergeCell ref="C668:D668"/>
    <mergeCell ref="C680:D680"/>
    <mergeCell ref="C681:D681"/>
    <mergeCell ref="C682:D682"/>
    <mergeCell ref="C683:D683"/>
    <mergeCell ref="C684:D684"/>
    <mergeCell ref="C685:D685"/>
    <mergeCell ref="C686:D686"/>
    <mergeCell ref="C669:D669"/>
    <mergeCell ref="C670:D670"/>
    <mergeCell ref="C671:D671"/>
    <mergeCell ref="C672:D672"/>
    <mergeCell ref="C673:D673"/>
    <mergeCell ref="C674:D674"/>
    <mergeCell ref="C675:D675"/>
    <mergeCell ref="C676:D676"/>
    <mergeCell ref="C677:D677"/>
    <mergeCell ref="C644:D644"/>
    <mergeCell ref="C645:D645"/>
    <mergeCell ref="C646:D646"/>
    <mergeCell ref="C647:D647"/>
    <mergeCell ref="C648:D648"/>
    <mergeCell ref="C649:D649"/>
    <mergeCell ref="C650:D650"/>
    <mergeCell ref="C678:D678"/>
    <mergeCell ref="C679:D679"/>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OURCE_Button2_Click">
                <anchor>
                  <from>
                    <xdr:col>11</xdr:col>
                    <xdr:colOff>289560</xdr:colOff>
                    <xdr:row>0</xdr:row>
                    <xdr:rowOff>259080</xdr:rowOff>
                  </from>
                  <to>
                    <xdr:col>13</xdr:col>
                    <xdr:colOff>434340</xdr:colOff>
                    <xdr:row>0</xdr:row>
                    <xdr:rowOff>533400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from>
                    <xdr:col>11</xdr:col>
                    <xdr:colOff>304800</xdr:colOff>
                    <xdr:row>2</xdr:row>
                    <xdr:rowOff>0</xdr:rowOff>
                  </from>
                  <to>
                    <xdr:col>13</xdr:col>
                    <xdr:colOff>441960</xdr:colOff>
                    <xdr:row>2</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20</vt:i4>
      </vt:variant>
    </vt:vector>
  </HeadingPairs>
  <TitlesOfParts>
    <vt:vector size="43" baseType="lpstr">
      <vt:lpstr>SCHEDULE 87</vt:lpstr>
      <vt:lpstr>SCHEDULE 86</vt:lpstr>
      <vt:lpstr>SCHEDULE 85</vt:lpstr>
      <vt:lpstr>SCHEDULE 84</vt:lpstr>
      <vt:lpstr>SCHEDULE 83</vt:lpstr>
      <vt:lpstr>SCHEDULE 82</vt:lpstr>
      <vt:lpstr>SCHEDULE 81</vt:lpstr>
      <vt:lpstr>SCHEDULE 67</vt:lpstr>
      <vt:lpstr>SCHEDULE 66</vt:lpstr>
      <vt:lpstr>SCHEDULE 65</vt:lpstr>
      <vt:lpstr>SCHEDULE 64</vt:lpstr>
      <vt:lpstr>SCHEDULE 63</vt:lpstr>
      <vt:lpstr>SCHEDULE 62</vt:lpstr>
      <vt:lpstr>SCHEDULE 61</vt:lpstr>
      <vt:lpstr>SCHEDULE 47</vt:lpstr>
      <vt:lpstr>SCHEDULE 46</vt:lpstr>
      <vt:lpstr>SCHEDULE 45</vt:lpstr>
      <vt:lpstr>SCHEDULE 43</vt:lpstr>
      <vt:lpstr>SCHEDULE 42</vt:lpstr>
      <vt:lpstr>SCHEDULE 41</vt:lpstr>
      <vt:lpstr>WORK_PLACE2</vt:lpstr>
      <vt:lpstr>WORK_PLACE</vt:lpstr>
      <vt:lpstr>SOURCE</vt:lpstr>
      <vt:lpstr>'SCHEDULE 41'!Print_Area</vt:lpstr>
      <vt:lpstr>'SCHEDULE 42'!Print_Area</vt:lpstr>
      <vt:lpstr>'SCHEDULE 43'!Print_Area</vt:lpstr>
      <vt:lpstr>'SCHEDULE 45'!Print_Area</vt:lpstr>
      <vt:lpstr>'SCHEDULE 46'!Print_Area</vt:lpstr>
      <vt:lpstr>'SCHEDULE 47'!Print_Area</vt:lpstr>
      <vt:lpstr>'SCHEDULE 61'!Print_Area</vt:lpstr>
      <vt:lpstr>'SCHEDULE 62'!Print_Area</vt:lpstr>
      <vt:lpstr>'SCHEDULE 63'!Print_Area</vt:lpstr>
      <vt:lpstr>'SCHEDULE 64'!Print_Area</vt:lpstr>
      <vt:lpstr>'SCHEDULE 65'!Print_Area</vt:lpstr>
      <vt:lpstr>'SCHEDULE 66'!Print_Area</vt:lpstr>
      <vt:lpstr>'SCHEDULE 67'!Print_Area</vt:lpstr>
      <vt:lpstr>'SCHEDULE 81'!Print_Area</vt:lpstr>
      <vt:lpstr>'SCHEDULE 82'!Print_Area</vt:lpstr>
      <vt:lpstr>'SCHEDULE 83'!Print_Area</vt:lpstr>
      <vt:lpstr>'SCHEDULE 84'!Print_Area</vt:lpstr>
      <vt:lpstr>'SCHEDULE 85'!Print_Area</vt:lpstr>
      <vt:lpstr>'SCHEDULE 86'!Print_Area</vt:lpstr>
      <vt:lpstr>'SCHEDULE 87'!Print_Area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Priyanshu Malhotra</dc:creator>
  <cp:lastModifiedBy>Priyanshu Malhotra</cp:lastModifiedBy>
  <cp:lastPrinted>2025-01-03T09:27:14Z</cp:lastPrinted>
  <dcterms:created xsi:type="dcterms:W3CDTF">2024-12-13T13:40:50Z</dcterms:created>
  <dcterms:modified xsi:type="dcterms:W3CDTF">2025-01-19T11:35:11Z</dcterms:modified>
</cp:coreProperties>
</file>
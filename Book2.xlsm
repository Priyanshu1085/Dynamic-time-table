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DMRC\OPERATIONS\"/>
    </mc:Choice>
  </mc:AlternateContent>
  <xr:revisionPtr revIDLastSave="0" documentId="13_ncr:1_{C265CA98-BDF4-4E4A-8C49-618BF129C830}" xr6:coauthVersionLast="47" xr6:coauthVersionMax="47" xr10:uidLastSave="{00000000-0000-0000-0000-000000000000}"/>
  <bookViews>
    <workbookView showSheetTabs="0" xWindow="-108" yWindow="-108" windowWidth="23256" windowHeight="12456" activeTab="6" xr2:uid="{D0A68AA0-E50F-47FE-A2F3-8DF328813E67}"/>
  </bookViews>
  <sheets>
    <sheet name="SOURCE" sheetId="1" r:id="rId1"/>
    <sheet name="WORK_PLACE" sheetId="2" r:id="rId2"/>
    <sheet name="SCHEDULE 86" sheetId="7" r:id="rId3"/>
    <sheet name="SCHEDULE 66" sheetId="8" r:id="rId4"/>
    <sheet name="SCHEDULE 46" sheetId="9" r:id="rId5"/>
    <sheet name="SCHEDULE 85" sheetId="10" r:id="rId6"/>
    <sheet name="SCHEDULE 65" sheetId="11" r:id="rId7"/>
    <sheet name="SCHEDULE 45" sheetId="12"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 l="1"/>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 r="J2" i="2"/>
</calcChain>
</file>

<file path=xl/sharedStrings.xml><?xml version="1.0" encoding="utf-8"?>
<sst xmlns="http://schemas.openxmlformats.org/spreadsheetml/2006/main" count="1497" uniqueCount="420">
  <si>
    <t>T1</t>
  </si>
  <si>
    <t>T2</t>
  </si>
  <si>
    <t>T3</t>
  </si>
  <si>
    <t>TEACHING STAFF</t>
  </si>
  <si>
    <t>Give No. of hours per day</t>
  </si>
  <si>
    <t>S.No.</t>
  </si>
  <si>
    <t>Topic Name</t>
  </si>
  <si>
    <t>Teacher Name</t>
  </si>
  <si>
    <t>Subject</t>
  </si>
  <si>
    <t>ORIENTATION</t>
  </si>
  <si>
    <t>FITST AID, FIRE FIGHTING &amp; SECURITY</t>
  </si>
  <si>
    <t>Welcome and details of complete training module and disciplines to be followed during training</t>
  </si>
  <si>
    <t>Batch Coordinator</t>
  </si>
  <si>
    <t>Registration of Trainees</t>
  </si>
  <si>
    <t>Interaction with principal/ Vice principal about Training
importance and discipline.</t>
  </si>
  <si>
    <t>Principal / PO / APO</t>
  </si>
  <si>
    <t>Safety and its different aspect in different department</t>
  </si>
  <si>
    <t>Safety Wing</t>
  </si>
  <si>
    <t>Overview of E&amp;M system (ASS, DG sets &amp; UPS) &amp; Details of BMS, ECS, TVS  equipments and their uses. Restoration of Station power supply during Break down of supplies from ASS.</t>
  </si>
  <si>
    <t>E&amp;M Wing</t>
  </si>
  <si>
    <t>Different equipment in OCC. Liaison and role of different
department in OCC.</t>
  </si>
  <si>
    <t>OCC</t>
  </si>
  <si>
    <t>Scope &amp; Role of First Aid</t>
  </si>
  <si>
    <t>First Aid Faculty</t>
  </si>
  <si>
    <t>Structure &amp; Function of human body</t>
  </si>
  <si>
    <t>Dressing &amp; Bandages, First Aid Box &amp; its contents</t>
  </si>
  <si>
    <t>Circulation of blood, bleeding wound and Hameorages</t>
  </si>
  <si>
    <t>Shock &amp; its management</t>
  </si>
  <si>
    <t>Asphyxla &amp; Artificial Respiration</t>
  </si>
  <si>
    <t>Injuries to bones &amp; Joint fractures</t>
  </si>
  <si>
    <t>Burns&amp; Scalds</t>
  </si>
  <si>
    <t>unconciousnesness &amp; general rules for treatment</t>
  </si>
  <si>
    <t>Transport of injured persons</t>
  </si>
  <si>
    <t>strecher exercise, preparing/ blanketing strecher practical</t>
  </si>
  <si>
    <t>Practical on CPR</t>
  </si>
  <si>
    <t>Exam on first aid</t>
  </si>
  <si>
    <t>Feedback on First Aid</t>
  </si>
  <si>
    <t>Overview of Fire Fighting System in DMRC &amp; Elements of
combustion and its products.</t>
  </si>
  <si>
    <t>Fire Fighting Faculty</t>
  </si>
  <si>
    <t>Classification of fire and extinguishing methods.</t>
  </si>
  <si>
    <t>Active fire protection( Detection/ Alarm)</t>
  </si>
  <si>
    <t>Active fire protection ( Suppression systems:-pumps, Hose/
Extinguishers.)</t>
  </si>
  <si>
    <t>Practicle of automatic fire protection systems and wet drill.
Movie on Fire Safety</t>
  </si>
  <si>
    <t>SOP of Fire accidents in DMRC.  Train: (i)Elevated (ii) Tunnel (iii) Platform}</t>
  </si>
  <si>
    <t>Overview of security system in DMRC</t>
  </si>
  <si>
    <t>Security Staff</t>
  </si>
  <si>
    <t>SC-15, Types of Disaster, Vigilance during disaster management</t>
  </si>
  <si>
    <t>Security Threat, Red Alert- Action to be taken, Handling Theft
cases &amp; abandoned women/child</t>
  </si>
  <si>
    <t>Sh Amit Kr Singh</t>
  </si>
  <si>
    <t>Sh R K Taneja</t>
  </si>
  <si>
    <t>Sh Ashwai Gupta</t>
  </si>
  <si>
    <t>Sh Surender</t>
  </si>
  <si>
    <t>MRGR 2013-V  (Platform Doors)</t>
  </si>
  <si>
    <t>Sh Ranvijay Kunal</t>
  </si>
  <si>
    <t>Sh Vineet</t>
  </si>
  <si>
    <t>Sh Mahender Chauhan</t>
  </si>
  <si>
    <t>Sh Abu Fahim</t>
  </si>
  <si>
    <t>Sh Neeraj</t>
  </si>
  <si>
    <t>MRGR 2013-Ch.I  (Preliminary, Definitions), Ch 2 (Relevant Rules)</t>
  </si>
  <si>
    <t>MRGR 2013-III (Signals and Control)</t>
  </si>
  <si>
    <t>MRGR 2013-IV (Speed &amp; Working of Trains)</t>
  </si>
  <si>
    <t>MONDAY</t>
  </si>
  <si>
    <t>TUESDAY</t>
  </si>
  <si>
    <t>WEDNESDAY</t>
  </si>
  <si>
    <t>THURSDAY</t>
  </si>
  <si>
    <t>FRIDAY</t>
  </si>
  <si>
    <t>SATURDAY</t>
  </si>
  <si>
    <t>Sh Ashwani Gupta</t>
  </si>
  <si>
    <t>Teacher Staf Code</t>
  </si>
  <si>
    <t>Sh Amit Sharma</t>
  </si>
  <si>
    <t>Sh Sanjay</t>
  </si>
  <si>
    <t>Sh Shashank</t>
  </si>
  <si>
    <t>Sh K R Ranjan</t>
  </si>
  <si>
    <t>Sh S K Pandey</t>
  </si>
  <si>
    <t>Sh R K Dixit</t>
  </si>
  <si>
    <t>Sh Amit Singh</t>
  </si>
  <si>
    <t>Sh Lokesh</t>
  </si>
  <si>
    <t>Sh S B Sharma</t>
  </si>
  <si>
    <t>Sh Vinay</t>
  </si>
  <si>
    <t>Sh D K Katiyar</t>
  </si>
  <si>
    <t>RS1 Train operation procedures (Ch. 5.1-5.3) (Train Washing, Cab leaving procedure, Procedure for SUO/DUO/TUO)</t>
  </si>
  <si>
    <t>RS1 Train Operation of different sub systems (Ch. 6.1-6.3) (Saloon Door operation, Door Loop, Emergency Evacuation)</t>
  </si>
  <si>
    <t>RS1 Train Operation of different sub systems (Ch. 6.4-6.5) (AC Controls, Operation of Wipers)</t>
  </si>
  <si>
    <t>RS1 Train Operation of different sub systems (Ch. 6.6-6.8) (VCB Opening Closing Restting through TIMS, Operation of PAPIS, Cut Out Cocks)</t>
  </si>
  <si>
    <t>RS2 Train operation procedures Ch. 5 (except ch. 5.4) (Train Washing, Cab leaving procedure, Procedure for SUO/DUO/TUO, Activation &amp; Deactivation of Train on main line. Coupling mode selection, High Tractive effort, Fault Reset, Battery Reset)</t>
  </si>
  <si>
    <t>RS2 Train Operation of different sub systems (Ch. 6.1) (Door System)</t>
  </si>
  <si>
    <t>RS2 Train Operation of different sub systems (Ch. 6.2) (Traction Interlock)</t>
  </si>
  <si>
    <t>RS2 Train Operation of different sub systems (Ch. 6.3) (Emergency Evacuation)</t>
  </si>
  <si>
    <t>RS2 Train Operation of different sub systems (Ch. 6.4, 6.5 &amp; 6.8) (HVAC Control, Operation of PAPIS, Train Lighting)</t>
  </si>
  <si>
    <t>RS2 Train Operation of different sub systems (Ch. 6.6-6.7) (Cut out cocks, Control of Main Compressor)</t>
  </si>
  <si>
    <t>Train Operation in ATO mode Practical &amp; ATP Troubleshooting Practical simluator</t>
  </si>
  <si>
    <t>Demonstrate Train Driving in ATO mode on simluator</t>
  </si>
  <si>
    <t>Simulator Faculty</t>
  </si>
  <si>
    <t>Introduce various failures related to ATP on simulator and Explain their troubleshooting steps including  steps for switching
off ATP MCB &amp; steps for resetting ATP MCBsimluator</t>
  </si>
  <si>
    <t>Train initialization indication, Door Opening in Standby mode &amp; ATP MCB Resetting practical</t>
  </si>
  <si>
    <t>Crew Control Faculty</t>
  </si>
  <si>
    <t xml:space="preserve">driving mode selection &amp; Safety features of ATC &amp; degraded mode             </t>
  </si>
  <si>
    <t>Explain safety features of ATC &amp; Compare all the driving modes on the basis of safety features provided by ATC system   presentation</t>
  </si>
  <si>
    <t xml:space="preserve">ATP troubleshooting Practical </t>
  </si>
  <si>
    <t>Training Hour Completed</t>
  </si>
  <si>
    <t>Teanchin Staff Code</t>
  </si>
  <si>
    <t>Use option button value</t>
  </si>
  <si>
    <r>
      <rPr>
        <b/>
        <sz val="7.5"/>
        <rFont val="Calibri"/>
        <family val="1"/>
      </rPr>
      <t>S. No.</t>
    </r>
  </si>
  <si>
    <r>
      <rPr>
        <b/>
        <sz val="8"/>
        <rFont val="Calibri"/>
        <family val="1"/>
      </rPr>
      <t>Topic</t>
    </r>
  </si>
  <si>
    <r>
      <rPr>
        <b/>
        <sz val="8"/>
        <rFont val="Calibri"/>
        <family val="1"/>
      </rPr>
      <t>Sub Topic</t>
    </r>
  </si>
  <si>
    <r>
      <rPr>
        <b/>
        <sz val="8"/>
        <rFont val="Calibri"/>
        <family val="1"/>
      </rPr>
      <t>No. of Sessions</t>
    </r>
  </si>
  <si>
    <r>
      <rPr>
        <sz val="8"/>
        <rFont val="Calibri"/>
        <family val="1"/>
      </rPr>
      <t>Faculty 1</t>
    </r>
  </si>
  <si>
    <r>
      <rPr>
        <sz val="8"/>
        <rFont val="Calibri"/>
        <family val="1"/>
      </rPr>
      <t>Faculty 2</t>
    </r>
  </si>
  <si>
    <r>
      <rPr>
        <sz val="8"/>
        <rFont val="Calibri"/>
        <family val="1"/>
      </rPr>
      <t>Faculty 3</t>
    </r>
  </si>
  <si>
    <r>
      <rPr>
        <sz val="8"/>
        <rFont val="Calibri"/>
        <family val="1"/>
      </rPr>
      <t>Training module &amp; dissemination of other information by Batch Coordinator</t>
    </r>
  </si>
  <si>
    <r>
      <rPr>
        <sz val="8"/>
        <rFont val="Calibri"/>
        <family val="1"/>
      </rPr>
      <t>Welcome and details of complete training module and disciplines to be followed during training</t>
    </r>
  </si>
  <si>
    <r>
      <rPr>
        <sz val="8"/>
        <rFont val="Calibri"/>
        <family val="1"/>
      </rPr>
      <t>Batch Coordinator</t>
    </r>
  </si>
  <si>
    <r>
      <rPr>
        <sz val="8"/>
        <rFont val="Calibri"/>
        <family val="1"/>
      </rPr>
      <t>Registration</t>
    </r>
  </si>
  <si>
    <r>
      <rPr>
        <sz val="8"/>
        <rFont val="Calibri"/>
        <family val="1"/>
      </rPr>
      <t>Registration of Trainees</t>
    </r>
  </si>
  <si>
    <r>
      <rPr>
        <sz val="8"/>
        <rFont val="Calibri"/>
        <family val="1"/>
      </rPr>
      <t xml:space="preserve">Interaction with Principal /Vice
</t>
    </r>
    <r>
      <rPr>
        <sz val="8"/>
        <rFont val="Calibri"/>
        <family val="1"/>
      </rPr>
      <t>Principal</t>
    </r>
  </si>
  <si>
    <r>
      <rPr>
        <sz val="8"/>
        <rFont val="Calibri"/>
        <family val="1"/>
      </rPr>
      <t xml:space="preserve">Interaction with principal/ Vice principal about Training
</t>
    </r>
    <r>
      <rPr>
        <sz val="8"/>
        <rFont val="Calibri"/>
        <family val="1"/>
      </rPr>
      <t>importance and discipline.</t>
    </r>
  </si>
  <si>
    <r>
      <rPr>
        <sz val="8"/>
        <rFont val="Calibri"/>
        <family val="1"/>
      </rPr>
      <t>Principal / PO / APO</t>
    </r>
  </si>
  <si>
    <r>
      <rPr>
        <sz val="8"/>
        <rFont val="Calibri"/>
        <family val="1"/>
      </rPr>
      <t>Overview of safety</t>
    </r>
  </si>
  <si>
    <r>
      <rPr>
        <sz val="8"/>
        <rFont val="Calibri"/>
        <family val="1"/>
      </rPr>
      <t>Safety and its different aspect in different department</t>
    </r>
  </si>
  <si>
    <r>
      <rPr>
        <sz val="8"/>
        <rFont val="Calibri"/>
        <family val="1"/>
      </rPr>
      <t>Safety Wing</t>
    </r>
  </si>
  <si>
    <r>
      <rPr>
        <sz val="8"/>
        <rFont val="Calibri"/>
        <family val="1"/>
      </rPr>
      <t>Overview of E&amp;M &amp; ECS/TVS/BMS in DMRC</t>
    </r>
  </si>
  <si>
    <r>
      <rPr>
        <sz val="8"/>
        <rFont val="Calibri"/>
        <family val="1"/>
      </rPr>
      <t>Overview of E&amp;M system (ASS, DG sets &amp; UPS) &amp; Details of BMS, ECS, TVS  equipments and their uses. Restoration of Station power supply during Break down of supplies from ASS.</t>
    </r>
  </si>
  <si>
    <r>
      <rPr>
        <sz val="8"/>
        <rFont val="Calibri"/>
        <family val="1"/>
      </rPr>
      <t>E&amp;M Wing</t>
    </r>
  </si>
  <si>
    <r>
      <rPr>
        <sz val="8"/>
        <rFont val="Calibri"/>
        <family val="1"/>
      </rPr>
      <t>Working of OCC</t>
    </r>
  </si>
  <si>
    <r>
      <rPr>
        <sz val="8"/>
        <rFont val="Calibri"/>
        <family val="1"/>
      </rPr>
      <t xml:space="preserve">Different equipment in OCC. Liaison and role of different
</t>
    </r>
    <r>
      <rPr>
        <sz val="8"/>
        <rFont val="Calibri"/>
        <family val="1"/>
      </rPr>
      <t>department in OCC.</t>
    </r>
  </si>
  <si>
    <r>
      <rPr>
        <sz val="8"/>
        <rFont val="Calibri"/>
        <family val="1"/>
      </rPr>
      <t>OCC</t>
    </r>
  </si>
  <si>
    <r>
      <rPr>
        <b/>
        <sz val="10.5"/>
        <rFont val="Calibri"/>
        <family val="1"/>
      </rPr>
      <t>Total Sessions</t>
    </r>
  </si>
  <si>
    <r>
      <rPr>
        <b/>
        <sz val="8"/>
        <rFont val="Calibri"/>
        <family val="1"/>
      </rPr>
      <t xml:space="preserve">No. of
</t>
    </r>
    <r>
      <rPr>
        <b/>
        <sz val="8"/>
        <rFont val="Calibri"/>
        <family val="1"/>
      </rPr>
      <t>Sessions</t>
    </r>
  </si>
  <si>
    <r>
      <rPr>
        <sz val="8"/>
        <rFont val="Calibri"/>
        <family val="1"/>
      </rPr>
      <t>First- Aid</t>
    </r>
  </si>
  <si>
    <r>
      <rPr>
        <sz val="8"/>
        <rFont val="Calibri"/>
        <family val="1"/>
      </rPr>
      <t>Scope &amp; Role of First Aid</t>
    </r>
  </si>
  <si>
    <r>
      <rPr>
        <sz val="8"/>
        <rFont val="Calibri"/>
        <family val="1"/>
      </rPr>
      <t>First Aid Faculty</t>
    </r>
  </si>
  <si>
    <r>
      <rPr>
        <sz val="8"/>
        <rFont val="Calibri"/>
        <family val="1"/>
      </rPr>
      <t>Structure &amp; Function of human body</t>
    </r>
  </si>
  <si>
    <r>
      <rPr>
        <sz val="8"/>
        <rFont val="Calibri"/>
        <family val="1"/>
      </rPr>
      <t>Dressing &amp; Bandages, First Aid Box &amp; its contents</t>
    </r>
  </si>
  <si>
    <r>
      <rPr>
        <sz val="8"/>
        <rFont val="Calibri"/>
        <family val="1"/>
      </rPr>
      <t>Circulation of blood, bleeding wound and Hameorages</t>
    </r>
  </si>
  <si>
    <r>
      <rPr>
        <sz val="8"/>
        <rFont val="Calibri"/>
        <family val="1"/>
      </rPr>
      <t>Shock &amp; its management</t>
    </r>
  </si>
  <si>
    <r>
      <rPr>
        <sz val="8"/>
        <rFont val="Calibri"/>
        <family val="1"/>
      </rPr>
      <t>Asphyxla &amp; Artificial Respiration</t>
    </r>
  </si>
  <si>
    <r>
      <rPr>
        <sz val="8"/>
        <rFont val="Calibri"/>
        <family val="1"/>
      </rPr>
      <t>Injuries to bones &amp; Joint fractures</t>
    </r>
  </si>
  <si>
    <r>
      <rPr>
        <sz val="8"/>
        <rFont val="Calibri"/>
        <family val="1"/>
      </rPr>
      <t>Burns&amp; Scalds</t>
    </r>
  </si>
  <si>
    <r>
      <rPr>
        <sz val="8"/>
        <rFont val="Calibri"/>
        <family val="1"/>
      </rPr>
      <t>unconciousnesness &amp; general rules for treatment</t>
    </r>
  </si>
  <si>
    <r>
      <rPr>
        <sz val="8"/>
        <rFont val="Calibri"/>
        <family val="1"/>
      </rPr>
      <t>Transport of injured persons</t>
    </r>
  </si>
  <si>
    <r>
      <rPr>
        <sz val="8"/>
        <rFont val="Calibri"/>
        <family val="1"/>
      </rPr>
      <t>strecher exercise, preparing/ blanketing strecher practical</t>
    </r>
  </si>
  <si>
    <r>
      <rPr>
        <sz val="8"/>
        <rFont val="Calibri"/>
        <family val="1"/>
      </rPr>
      <t>Practical on CPR</t>
    </r>
  </si>
  <si>
    <r>
      <rPr>
        <sz val="8"/>
        <rFont val="Calibri"/>
        <family val="1"/>
      </rPr>
      <t>Exam on first aid</t>
    </r>
  </si>
  <si>
    <r>
      <rPr>
        <sz val="8"/>
        <rFont val="Calibri"/>
        <family val="1"/>
      </rPr>
      <t>Feedback on First Aid</t>
    </r>
  </si>
  <si>
    <r>
      <rPr>
        <sz val="8"/>
        <rFont val="Calibri"/>
        <family val="1"/>
      </rPr>
      <t>Fire Fighting</t>
    </r>
  </si>
  <si>
    <r>
      <rPr>
        <sz val="8"/>
        <rFont val="Calibri"/>
        <family val="1"/>
      </rPr>
      <t xml:space="preserve">Overview of Fire Fighting System in DMRC &amp; Elements of
</t>
    </r>
    <r>
      <rPr>
        <sz val="8"/>
        <rFont val="Calibri"/>
        <family val="1"/>
      </rPr>
      <t>combustion and its products.</t>
    </r>
  </si>
  <si>
    <r>
      <rPr>
        <sz val="8"/>
        <rFont val="Calibri"/>
        <family val="1"/>
      </rPr>
      <t>Fire Fighting Faculty</t>
    </r>
  </si>
  <si>
    <r>
      <rPr>
        <sz val="8"/>
        <rFont val="Calibri"/>
        <family val="1"/>
      </rPr>
      <t>Classification of fire and extinguishing methods.</t>
    </r>
  </si>
  <si>
    <r>
      <rPr>
        <sz val="8"/>
        <rFont val="Calibri"/>
        <family val="1"/>
      </rPr>
      <t>Active fire protection( Detection/ Alarm)</t>
    </r>
  </si>
  <si>
    <r>
      <rPr>
        <sz val="8"/>
        <rFont val="Calibri"/>
        <family val="1"/>
      </rPr>
      <t xml:space="preserve">Active fire protection ( Suppression systems:-pumps, Hose/
</t>
    </r>
    <r>
      <rPr>
        <sz val="8"/>
        <rFont val="Calibri"/>
        <family val="1"/>
      </rPr>
      <t>Extinguishers.)</t>
    </r>
  </si>
  <si>
    <r>
      <rPr>
        <sz val="8"/>
        <rFont val="Calibri"/>
        <family val="1"/>
      </rPr>
      <t xml:space="preserve">Practicle of automatic fire protection systems and wet drill.
</t>
    </r>
    <r>
      <rPr>
        <sz val="8"/>
        <rFont val="Calibri"/>
        <family val="1"/>
      </rPr>
      <t>Movie on Fire Safety</t>
    </r>
  </si>
  <si>
    <r>
      <rPr>
        <sz val="8"/>
        <rFont val="Calibri"/>
        <family val="1"/>
      </rPr>
      <t>SOP of Fire accidents in DMRC.  Train: (i)Elevated (ii) Tunnel (iii) Platform}</t>
    </r>
  </si>
  <si>
    <r>
      <rPr>
        <sz val="8"/>
        <rFont val="Calibri"/>
        <family val="1"/>
      </rPr>
      <t>Security</t>
    </r>
  </si>
  <si>
    <r>
      <rPr>
        <sz val="8"/>
        <rFont val="Calibri"/>
        <family val="1"/>
      </rPr>
      <t>Overview of security system in DMRC</t>
    </r>
  </si>
  <si>
    <r>
      <rPr>
        <sz val="8"/>
        <rFont val="Calibri"/>
        <family val="1"/>
      </rPr>
      <t>Security Staff</t>
    </r>
  </si>
  <si>
    <r>
      <rPr>
        <sz val="8"/>
        <rFont val="Calibri"/>
        <family val="1"/>
      </rPr>
      <t>SC-15, Types of Disaster, Vigilance during disaster management</t>
    </r>
  </si>
  <si>
    <r>
      <rPr>
        <sz val="8"/>
        <rFont val="Calibri"/>
        <family val="1"/>
      </rPr>
      <t xml:space="preserve">Security Threat, Red Alert- Action to be taken, Handling Theft
</t>
    </r>
    <r>
      <rPr>
        <sz val="8"/>
        <rFont val="Calibri"/>
        <family val="1"/>
      </rPr>
      <t>cases &amp; abandoned women/child</t>
    </r>
  </si>
  <si>
    <r>
      <rPr>
        <sz val="8"/>
        <rFont val="Calibri"/>
        <family val="1"/>
      </rPr>
      <t>MRGR</t>
    </r>
  </si>
  <si>
    <r>
      <rPr>
        <sz val="8"/>
        <rFont val="Calibri"/>
        <family val="1"/>
      </rPr>
      <t>MRGR 2013-Ch.I  (Preliminary, Definitions), Ch 2 (Relevant Rules)</t>
    </r>
  </si>
  <si>
    <r>
      <rPr>
        <sz val="8"/>
        <rFont val="Calibri"/>
        <family val="1"/>
      </rPr>
      <t>Sh Gaurav Saxena</t>
    </r>
  </si>
  <si>
    <r>
      <rPr>
        <sz val="8"/>
        <rFont val="Calibri"/>
        <family val="1"/>
      </rPr>
      <t>MRGR 2013-III (Signals and Control)</t>
    </r>
  </si>
  <si>
    <r>
      <rPr>
        <sz val="8"/>
        <rFont val="Calibri"/>
        <family val="1"/>
      </rPr>
      <t>Sh Abu Fahim</t>
    </r>
  </si>
  <si>
    <r>
      <rPr>
        <sz val="8"/>
        <rFont val="Calibri"/>
        <family val="1"/>
      </rPr>
      <t>Sh Lokesh</t>
    </r>
  </si>
  <si>
    <r>
      <rPr>
        <sz val="8"/>
        <rFont val="Calibri"/>
        <family val="1"/>
      </rPr>
      <t>Sh Surender</t>
    </r>
  </si>
  <si>
    <r>
      <rPr>
        <sz val="8"/>
        <rFont val="Calibri"/>
        <family val="1"/>
      </rPr>
      <t>MRGR 2013-IV (Speed &amp; Working of Trains)</t>
    </r>
  </si>
  <si>
    <r>
      <rPr>
        <sz val="8"/>
        <rFont val="Calibri"/>
        <family val="1"/>
      </rPr>
      <t>Sh Lokesh Kumar</t>
    </r>
  </si>
  <si>
    <r>
      <rPr>
        <sz val="8"/>
        <rFont val="Calibri"/>
        <family val="1"/>
      </rPr>
      <t>Sh D K katiyar</t>
    </r>
  </si>
  <si>
    <r>
      <rPr>
        <sz val="8"/>
        <rFont val="Calibri"/>
        <family val="1"/>
      </rPr>
      <t>MRGR 2013-VI (Control and Working of Staions)</t>
    </r>
  </si>
  <si>
    <r>
      <rPr>
        <sz val="8"/>
        <rFont val="Calibri"/>
        <family val="1"/>
      </rPr>
      <t>MRGR 2013-VII  (Accident and Unusual Occurrences)</t>
    </r>
  </si>
  <si>
    <r>
      <rPr>
        <sz val="8"/>
        <rFont val="Calibri"/>
        <family val="1"/>
      </rPr>
      <t>Sh Ashwani Gupta</t>
    </r>
  </si>
  <si>
    <r>
      <rPr>
        <sz val="8"/>
        <rFont val="Calibri"/>
        <family val="1"/>
      </rPr>
      <t xml:space="preserve">MRGR 2013-VIII (Systems of Working) &amp; MRGR 2013-XII (Other
</t>
    </r>
    <r>
      <rPr>
        <sz val="8"/>
        <rFont val="Calibri"/>
        <family val="1"/>
      </rPr>
      <t>Systems of Working)</t>
    </r>
  </si>
  <si>
    <r>
      <rPr>
        <sz val="8"/>
        <rFont val="Calibri"/>
        <family val="1"/>
      </rPr>
      <t>Sh Ashwani Guota</t>
    </r>
  </si>
  <si>
    <r>
      <rPr>
        <sz val="8"/>
        <rFont val="Calibri"/>
        <family val="1"/>
      </rPr>
      <t>MRGR 2013-IX (Single Line Working)</t>
    </r>
  </si>
  <si>
    <r>
      <rPr>
        <sz val="8"/>
        <rFont val="Calibri"/>
        <family val="1"/>
      </rPr>
      <t>MRGR 2013-XI (Power Supply and Traction Arrangement)</t>
    </r>
  </si>
  <si>
    <r>
      <rPr>
        <sz val="8"/>
        <rFont val="Calibri"/>
        <family val="1"/>
      </rPr>
      <t>Sh R K Taneja</t>
    </r>
  </si>
  <si>
    <r>
      <rPr>
        <sz val="8"/>
        <rFont val="Calibri"/>
        <family val="1"/>
      </rPr>
      <t>Safety Circular</t>
    </r>
  </si>
  <si>
    <r>
      <rPr>
        <sz val="8"/>
        <rFont val="Calibri"/>
        <family val="1"/>
      </rPr>
      <t>SC-31, SC-36, SC-39 &amp; SC-40</t>
    </r>
  </si>
  <si>
    <r>
      <rPr>
        <sz val="8"/>
        <rFont val="Calibri"/>
        <family val="1"/>
      </rPr>
      <t>SC-5, SC-6 with Role Play</t>
    </r>
  </si>
  <si>
    <r>
      <rPr>
        <sz val="8"/>
        <rFont val="Calibri"/>
        <family val="1"/>
      </rPr>
      <t>Sh R S Sharma</t>
    </r>
  </si>
  <si>
    <r>
      <rPr>
        <sz val="8"/>
        <rFont val="Calibri"/>
        <family val="1"/>
      </rPr>
      <t>SC-7 (A/B/C), SC-25</t>
    </r>
  </si>
  <si>
    <r>
      <rPr>
        <sz val="8"/>
        <rFont val="Calibri"/>
        <family val="1"/>
      </rPr>
      <t>Sh D K Katiyar</t>
    </r>
  </si>
  <si>
    <r>
      <rPr>
        <sz val="8"/>
        <rFont val="Calibri"/>
        <family val="1"/>
      </rPr>
      <t xml:space="preserve">Safety Circular
</t>
    </r>
    <r>
      <rPr>
        <sz val="8"/>
        <rFont val="Calibri"/>
        <family val="1"/>
      </rPr>
      <t>(Role Play)</t>
    </r>
  </si>
  <si>
    <r>
      <rPr>
        <sz val="8"/>
        <rFont val="Calibri"/>
        <family val="1"/>
      </rPr>
      <t>Role Play on situations based on SC-7 (A,B&amp;C), SC-25</t>
    </r>
  </si>
  <si>
    <r>
      <rPr>
        <sz val="8"/>
        <rFont val="Calibri"/>
        <family val="1"/>
      </rPr>
      <t>SC-4, SC-13,SC-17, SC-21  including MRGR (Ch X) and SC-29 A/B</t>
    </r>
  </si>
  <si>
    <r>
      <rPr>
        <sz val="8"/>
        <rFont val="Calibri"/>
        <family val="1"/>
      </rPr>
      <t>Safety Circular, Personal Safety</t>
    </r>
  </si>
  <si>
    <r>
      <rPr>
        <sz val="8"/>
        <rFont val="Calibri"/>
        <family val="1"/>
      </rPr>
      <t>Accident and Disaster Management Manual</t>
    </r>
  </si>
  <si>
    <r>
      <rPr>
        <sz val="8"/>
        <rFont val="Calibri"/>
        <family val="1"/>
      </rPr>
      <t>SC-30, SC-32, SC-33</t>
    </r>
  </si>
  <si>
    <r>
      <rPr>
        <sz val="8"/>
        <rFont val="Calibri"/>
        <family val="1"/>
      </rPr>
      <t>SC-16,SC-34,</t>
    </r>
    <r>
      <rPr>
        <u/>
        <sz val="8"/>
        <rFont val="Calibri"/>
        <family val="1"/>
      </rPr>
      <t>SC-41 A, SC 23 A/B</t>
    </r>
  </si>
  <si>
    <r>
      <rPr>
        <sz val="8"/>
        <rFont val="Calibri"/>
        <family val="1"/>
      </rPr>
      <t>SC-10, SC-26 and DO'S and Don'ts as regards to OHE</t>
    </r>
  </si>
  <si>
    <r>
      <rPr>
        <sz val="8"/>
        <rFont val="Calibri"/>
        <family val="1"/>
      </rPr>
      <t>SC-12 &amp; 12A</t>
    </r>
  </si>
  <si>
    <r>
      <rPr>
        <sz val="8"/>
        <rFont val="Calibri"/>
        <family val="1"/>
      </rPr>
      <t>Fire Officer</t>
    </r>
  </si>
  <si>
    <r>
      <rPr>
        <sz val="8"/>
        <rFont val="Calibri"/>
        <family val="1"/>
      </rPr>
      <t>DMRC Contigency Plan (Fire)</t>
    </r>
  </si>
  <si>
    <r>
      <rPr>
        <sz val="8"/>
        <rFont val="Calibri"/>
        <family val="1"/>
      </rPr>
      <t>Role Play on situations based on DMRC Contigency Plan (Fire)</t>
    </r>
  </si>
  <si>
    <r>
      <rPr>
        <sz val="8"/>
        <rFont val="Calibri"/>
        <family val="1"/>
      </rPr>
      <t>Contigency Plan DMRC (Security)</t>
    </r>
  </si>
  <si>
    <r>
      <rPr>
        <sz val="8"/>
        <rFont val="Calibri"/>
        <family val="1"/>
      </rPr>
      <t>Contigency Plan DMRC (Security) Reference : Revised Hand book for dealing with Serious Incidents/Accidents/Disasters</t>
    </r>
  </si>
  <si>
    <r>
      <rPr>
        <sz val="8"/>
        <rFont val="Calibri"/>
        <family val="1"/>
      </rPr>
      <t>Security Officer</t>
    </r>
  </si>
  <si>
    <r>
      <rPr>
        <sz val="8"/>
        <rFont val="Calibri"/>
        <family val="1"/>
      </rPr>
      <t>Contigency Plan DMRC (Ops)</t>
    </r>
  </si>
  <si>
    <r>
      <rPr>
        <sz val="8"/>
        <rFont val="Calibri"/>
        <family val="1"/>
      </rPr>
      <t>Contigency Plan DMRC (Ops) Reference : Revised Hand book for dealing with Serious Incidents/Accidents/Disasters &amp; Role of operation staff  &amp; Disaster Management Manual</t>
    </r>
  </si>
  <si>
    <r>
      <rPr>
        <sz val="8"/>
        <rFont val="Calibri"/>
        <family val="1"/>
      </rPr>
      <t>Role Play on situations based on Contigency Plan DMRC (Ops)</t>
    </r>
  </si>
  <si>
    <r>
      <rPr>
        <sz val="8"/>
        <rFont val="Calibri"/>
        <family val="1"/>
      </rPr>
      <t>Sh Gaurav</t>
    </r>
  </si>
  <si>
    <r>
      <rPr>
        <sz val="8"/>
        <rFont val="Calibri"/>
        <family val="1"/>
      </rPr>
      <t>Incident Handling</t>
    </r>
  </si>
  <si>
    <r>
      <rPr>
        <sz val="8"/>
        <rFont val="Calibri"/>
        <family val="1"/>
      </rPr>
      <t>Staff Response during Incident handling</t>
    </r>
  </si>
  <si>
    <r>
      <rPr>
        <sz val="8"/>
        <rFont val="Calibri"/>
        <family val="1"/>
      </rPr>
      <t>Feed Back</t>
    </r>
  </si>
  <si>
    <r>
      <rPr>
        <sz val="8"/>
        <rFont val="Calibri"/>
        <family val="1"/>
      </rPr>
      <t>Weekly Feedback from Trainees</t>
    </r>
  </si>
  <si>
    <r>
      <rPr>
        <sz val="8"/>
        <rFont val="Calibri"/>
        <family val="1"/>
      </rPr>
      <t>Handportable  Theory</t>
    </r>
  </si>
  <si>
    <r>
      <rPr>
        <sz val="8"/>
        <rFont val="Calibri"/>
        <family val="1"/>
      </rPr>
      <t>Display sysmbols &amp; their meaning in Handportable</t>
    </r>
  </si>
  <si>
    <r>
      <rPr>
        <sz val="8"/>
        <rFont val="Calibri"/>
        <family val="1"/>
      </rPr>
      <t>Function of buttons in Handportable</t>
    </r>
  </si>
  <si>
    <r>
      <rPr>
        <sz val="8"/>
        <rFont val="Calibri"/>
        <family val="1"/>
      </rPr>
      <t>How to initiate different calls in handportable</t>
    </r>
  </si>
  <si>
    <r>
      <rPr>
        <sz val="8"/>
        <rFont val="Calibri"/>
        <family val="1"/>
      </rPr>
      <t>How to select DMO mode  handportable</t>
    </r>
  </si>
  <si>
    <r>
      <rPr>
        <sz val="8"/>
        <rFont val="Calibri"/>
        <family val="1"/>
      </rPr>
      <t>Train Radio Theory</t>
    </r>
  </si>
  <si>
    <r>
      <rPr>
        <sz val="8"/>
        <rFont val="Calibri"/>
        <family val="1"/>
      </rPr>
      <t>Different modules of train radio</t>
    </r>
  </si>
  <si>
    <r>
      <rPr>
        <sz val="8"/>
        <rFont val="Calibri"/>
        <family val="1"/>
      </rPr>
      <t>Detail description of buttons on  TRCP</t>
    </r>
  </si>
  <si>
    <r>
      <rPr>
        <sz val="8"/>
        <rFont val="Calibri"/>
        <family val="1"/>
      </rPr>
      <t>Detail description of RCH Keys</t>
    </r>
  </si>
  <si>
    <r>
      <rPr>
        <sz val="8"/>
        <rFont val="Calibri"/>
        <family val="1"/>
      </rPr>
      <t>How to initiate different types of call &amp; groups</t>
    </r>
  </si>
  <si>
    <r>
      <rPr>
        <sz val="8"/>
        <rFont val="Calibri"/>
        <family val="1"/>
      </rPr>
      <t>Handportable  Practical</t>
    </r>
  </si>
  <si>
    <r>
      <rPr>
        <sz val="8"/>
        <rFont val="Calibri"/>
        <family val="1"/>
      </rPr>
      <t>Different sets of Handportables</t>
    </r>
  </si>
  <si>
    <r>
      <rPr>
        <sz val="8"/>
        <rFont val="Calibri"/>
        <family val="1"/>
      </rPr>
      <t>Practical</t>
    </r>
  </si>
  <si>
    <r>
      <rPr>
        <sz val="8"/>
        <rFont val="Calibri"/>
        <family val="1"/>
      </rPr>
      <t>Functions of different keys of  Hand portable</t>
    </r>
  </si>
  <si>
    <r>
      <rPr>
        <sz val="8"/>
        <rFont val="Calibri"/>
        <family val="1"/>
      </rPr>
      <t>How initiate different calls (Private/Group/Epabx/Phone)</t>
    </r>
  </si>
  <si>
    <r>
      <rPr>
        <sz val="8"/>
        <rFont val="Calibri"/>
        <family val="1"/>
      </rPr>
      <t>How to initiate Emg call</t>
    </r>
  </si>
  <si>
    <r>
      <rPr>
        <sz val="8"/>
        <rFont val="Calibri"/>
        <family val="1"/>
      </rPr>
      <t>Train Radio Practical</t>
    </r>
  </si>
  <si>
    <r>
      <rPr>
        <sz val="8"/>
        <rFont val="Calibri"/>
        <family val="1"/>
      </rPr>
      <t>Hardware familiarisation</t>
    </r>
  </si>
  <si>
    <r>
      <rPr>
        <sz val="8"/>
        <rFont val="Calibri"/>
        <family val="1"/>
      </rPr>
      <t xml:space="preserve">How initiate different calls (Private/Group/Epabx/Phone) from
</t>
    </r>
    <r>
      <rPr>
        <sz val="8"/>
        <rFont val="Calibri"/>
        <family val="1"/>
      </rPr>
      <t>RCH</t>
    </r>
  </si>
  <si>
    <r>
      <rPr>
        <sz val="8"/>
        <rFont val="Calibri"/>
        <family val="1"/>
      </rPr>
      <t>To show different equipment in train of radio system</t>
    </r>
  </si>
  <si>
    <r>
      <rPr>
        <sz val="8"/>
        <rFont val="Calibri"/>
        <family val="1"/>
      </rPr>
      <t>Use of key-buttons on TRCP/ RCH/ handset</t>
    </r>
  </si>
  <si>
    <r>
      <rPr>
        <sz val="8"/>
        <rFont val="Calibri"/>
        <family val="1"/>
      </rPr>
      <t>Emg. Comm.</t>
    </r>
  </si>
  <si>
    <r>
      <rPr>
        <sz val="8"/>
        <rFont val="Calibri"/>
        <family val="1"/>
      </rPr>
      <t>Emergency Communications can be done from</t>
    </r>
  </si>
  <si>
    <r>
      <rPr>
        <sz val="8"/>
        <rFont val="Calibri"/>
        <family val="1"/>
      </rPr>
      <t>Systems supporting Emergency Communications</t>
    </r>
  </si>
  <si>
    <r>
      <rPr>
        <sz val="8"/>
        <rFont val="Calibri"/>
        <family val="1"/>
      </rPr>
      <t>How to communicate in Emg situation</t>
    </r>
  </si>
  <si>
    <r>
      <rPr>
        <sz val="8"/>
        <rFont val="Calibri"/>
        <family val="1"/>
      </rPr>
      <t>Different cases to be communicated are</t>
    </r>
  </si>
  <si>
    <r>
      <rPr>
        <sz val="8"/>
        <rFont val="Calibri"/>
        <family val="1"/>
      </rPr>
      <t>1.Train operation in degraded mode</t>
    </r>
  </si>
  <si>
    <r>
      <rPr>
        <sz val="8"/>
        <rFont val="Calibri"/>
        <family val="1"/>
      </rPr>
      <t>Communication practice by Handportable/Train radio</t>
    </r>
  </si>
  <si>
    <r>
      <rPr>
        <sz val="8"/>
        <rFont val="Calibri"/>
        <family val="1"/>
      </rPr>
      <t>2.Mainline failures</t>
    </r>
  </si>
  <si>
    <r>
      <rPr>
        <sz val="8"/>
        <rFont val="Calibri"/>
        <family val="1"/>
      </rPr>
      <t>(a)BLCOS cutout operation communication</t>
    </r>
  </si>
  <si>
    <r>
      <rPr>
        <sz val="8"/>
        <rFont val="Calibri"/>
        <family val="1"/>
      </rPr>
      <t>(b)DPLCOS cutout operation communication</t>
    </r>
  </si>
  <si>
    <r>
      <rPr>
        <sz val="8"/>
        <rFont val="Calibri"/>
        <family val="1"/>
      </rPr>
      <t>3.Communication</t>
    </r>
  </si>
  <si>
    <r>
      <rPr>
        <sz val="8"/>
        <rFont val="Calibri"/>
        <family val="1"/>
      </rPr>
      <t>(a)PEA operation</t>
    </r>
  </si>
  <si>
    <r>
      <rPr>
        <sz val="8"/>
        <rFont val="Calibri"/>
        <family val="1"/>
      </rPr>
      <t>(b)Door obstruction</t>
    </r>
  </si>
  <si>
    <r>
      <rPr>
        <sz val="8"/>
        <rFont val="Calibri"/>
        <family val="1"/>
      </rPr>
      <t>4.Depot Entry/Exit</t>
    </r>
  </si>
  <si>
    <r>
      <rPr>
        <sz val="8"/>
        <rFont val="Calibri"/>
        <family val="1"/>
      </rPr>
      <t>(a)Depot Exit/Mainline Entry</t>
    </r>
  </si>
  <si>
    <r>
      <rPr>
        <sz val="8"/>
        <rFont val="Calibri"/>
        <family val="1"/>
      </rPr>
      <t>(b)Depot Entry/Mainline Exit</t>
    </r>
  </si>
  <si>
    <r>
      <rPr>
        <sz val="8"/>
        <rFont val="Calibri"/>
        <family val="1"/>
      </rPr>
      <t>Feedback session</t>
    </r>
  </si>
  <si>
    <r>
      <rPr>
        <b/>
        <sz val="12"/>
        <rFont val="Calibri"/>
        <family val="1"/>
      </rPr>
      <t>SUBJECT: RS-1 Theory &amp; Troubleshooting (Train Driving Module for Outsourced</t>
    </r>
  </si>
  <si>
    <r>
      <rPr>
        <sz val="8"/>
        <rFont val="Calibri"/>
        <family val="1"/>
      </rPr>
      <t>Overview</t>
    </r>
  </si>
  <si>
    <r>
      <rPr>
        <sz val="8"/>
        <rFont val="Calibri"/>
        <family val="1"/>
      </rPr>
      <t>Overview of RS1 Train &amp; its sub systems</t>
    </r>
  </si>
  <si>
    <r>
      <rPr>
        <sz val="8"/>
        <rFont val="Calibri"/>
        <family val="1"/>
      </rPr>
      <t xml:space="preserve">All Internal &amp; External Equiments, Bogie, Primary Suspension &amp;
</t>
    </r>
    <r>
      <rPr>
        <sz val="8"/>
        <rFont val="Calibri"/>
        <family val="1"/>
      </rPr>
      <t>Couplers in RS1 Train</t>
    </r>
  </si>
  <si>
    <r>
      <rPr>
        <sz val="8"/>
        <rFont val="Calibri"/>
        <family val="1"/>
      </rPr>
      <t>Sh S K Pandey</t>
    </r>
  </si>
  <si>
    <r>
      <rPr>
        <sz val="8"/>
        <rFont val="Calibri"/>
        <family val="1"/>
      </rPr>
      <t>Cab Equipments &amp; their functionality in RS1 Train.</t>
    </r>
  </si>
  <si>
    <r>
      <rPr>
        <sz val="8"/>
        <rFont val="Calibri"/>
        <family val="1"/>
      </rPr>
      <t>Train Sub Systems</t>
    </r>
  </si>
  <si>
    <r>
      <rPr>
        <sz val="8"/>
        <rFont val="Calibri"/>
        <family val="1"/>
      </rPr>
      <t>Train Integrated Management System in RS1 Train</t>
    </r>
  </si>
  <si>
    <r>
      <rPr>
        <sz val="8"/>
        <rFont val="Calibri"/>
        <family val="1"/>
      </rPr>
      <t>Current Collection System &amp; Propulsion System in RS1 Train</t>
    </r>
  </si>
  <si>
    <r>
      <rPr>
        <sz val="8"/>
        <rFont val="Calibri"/>
        <family val="1"/>
      </rPr>
      <t>Auxilliary &amp; Battery System and Training Lighting in RS1 train</t>
    </r>
  </si>
  <si>
    <r>
      <rPr>
        <sz val="8"/>
        <rFont val="Calibri"/>
        <family val="1"/>
      </rPr>
      <t>Door System and Door loop in RS1 Train</t>
    </r>
  </si>
  <si>
    <r>
      <rPr>
        <sz val="8"/>
        <rFont val="Calibri"/>
        <family val="1"/>
      </rPr>
      <t>Aircon System in RS1 Train</t>
    </r>
  </si>
  <si>
    <r>
      <rPr>
        <sz val="8"/>
        <rFont val="Calibri"/>
        <family val="1"/>
      </rPr>
      <t>PA/PIS  System in RS1 Train</t>
    </r>
  </si>
  <si>
    <r>
      <rPr>
        <sz val="8"/>
        <rFont val="Calibri"/>
        <family val="1"/>
      </rPr>
      <t>Brake System in RS1 Train (including Airsupply System)</t>
    </r>
  </si>
  <si>
    <r>
      <rPr>
        <sz val="8"/>
        <rFont val="Calibri"/>
        <family val="1"/>
      </rPr>
      <t>Schematic view of Cab Control, Motoring &amp; Braking in RS 1 Train, Brake loop and Emergency Brake loop in RS1 Train</t>
    </r>
  </si>
  <si>
    <r>
      <rPr>
        <sz val="8"/>
        <rFont val="Calibri"/>
        <family val="1"/>
      </rPr>
      <t>Driving Basic in RS1 Train (Ch.1)</t>
    </r>
  </si>
  <si>
    <r>
      <rPr>
        <sz val="8"/>
        <rFont val="Calibri"/>
        <family val="1"/>
      </rPr>
      <t xml:space="preserve">RS1 Train preparation, System Status &amp; Fault Indicators and
</t>
    </r>
    <r>
      <rPr>
        <sz val="8"/>
        <rFont val="Calibri"/>
        <family val="1"/>
      </rPr>
      <t>stabling of train (Ins 24, Ch 3&amp;4)</t>
    </r>
  </si>
  <si>
    <r>
      <rPr>
        <sz val="8"/>
        <rFont val="Calibri"/>
        <family val="1"/>
      </rPr>
      <t>Operating Manual</t>
    </r>
  </si>
  <si>
    <r>
      <rPr>
        <sz val="8"/>
        <rFont val="Calibri"/>
        <family val="1"/>
      </rPr>
      <t>Sh K R Ranjan</t>
    </r>
  </si>
  <si>
    <r>
      <rPr>
        <sz val="8"/>
        <rFont val="Calibri"/>
        <family val="1"/>
      </rPr>
      <t>Sh R K Dixit</t>
    </r>
  </si>
  <si>
    <r>
      <rPr>
        <sz val="8"/>
        <rFont val="Calibri"/>
        <family val="1"/>
      </rPr>
      <t>Sh Vinay</t>
    </r>
  </si>
  <si>
    <r>
      <rPr>
        <sz val="8"/>
        <rFont val="Calibri"/>
        <family val="1"/>
      </rPr>
      <t>RS1 Rescue Operation (Ch. 7)</t>
    </r>
  </si>
  <si>
    <r>
      <rPr>
        <sz val="8"/>
        <rFont val="Calibri"/>
        <family val="1"/>
      </rPr>
      <t>Troubleshooting Manual</t>
    </r>
  </si>
  <si>
    <r>
      <rPr>
        <sz val="8"/>
        <rFont val="Calibri"/>
        <family val="1"/>
      </rPr>
      <t>RS1 Troubleshooting Concept (Ch.1) &amp; RS13 Features</t>
    </r>
  </si>
  <si>
    <r>
      <rPr>
        <sz val="8"/>
        <rFont val="Calibri"/>
        <family val="1"/>
      </rPr>
      <t>RS1 Brake System Failure Troubleshooting (Ch. 2)</t>
    </r>
  </si>
  <si>
    <r>
      <rPr>
        <sz val="8"/>
        <rFont val="Calibri"/>
        <family val="1"/>
      </rPr>
      <t>RS1 Power Supply System Failure Troubleshooting (Ch. 3.1-3.2)</t>
    </r>
  </si>
  <si>
    <r>
      <rPr>
        <sz val="8"/>
        <rFont val="Calibri"/>
        <family val="1"/>
      </rPr>
      <t>RS1 Power Supply System Failure Troubleshooting (Ch. 3.3-3.5)</t>
    </r>
  </si>
  <si>
    <r>
      <rPr>
        <sz val="8"/>
        <rFont val="Calibri"/>
        <family val="1"/>
      </rPr>
      <t>RS1 Door System Failure Troubleshooting (Ch.4)</t>
    </r>
  </si>
  <si>
    <r>
      <rPr>
        <sz val="8"/>
        <rFont val="Calibri"/>
        <family val="1"/>
      </rPr>
      <t>Sh Surender Singh</t>
    </r>
  </si>
  <si>
    <r>
      <rPr>
        <sz val="8"/>
        <rFont val="Calibri"/>
        <family val="1"/>
      </rPr>
      <t>RS1 VCC Faults Troubleshooting (Ch.5)</t>
    </r>
  </si>
  <si>
    <r>
      <rPr>
        <sz val="8"/>
        <rFont val="Calibri"/>
        <family val="1"/>
      </rPr>
      <t>RS1 TIMS, Aircon &amp; PA/ PIS faults troubleshooting (Ch.6,7&amp;8)</t>
    </r>
  </si>
  <si>
    <r>
      <rPr>
        <sz val="8"/>
        <rFont val="Calibri"/>
        <family val="1"/>
      </rPr>
      <t>Sh S B Sharma</t>
    </r>
  </si>
  <si>
    <r>
      <rPr>
        <sz val="8"/>
        <rFont val="Calibri"/>
        <family val="1"/>
      </rPr>
      <t xml:space="preserve">RS1 Train Procedure for 6car &amp; 8car (OTM Part A Ch.5(5.4),
</t>
    </r>
    <r>
      <rPr>
        <sz val="8"/>
        <rFont val="Calibri"/>
        <family val="1"/>
      </rPr>
      <t>Temporary Instructions and correction slip</t>
    </r>
  </si>
  <si>
    <r>
      <rPr>
        <sz val="8"/>
        <rFont val="Calibri"/>
        <family val="1"/>
      </rPr>
      <t>Familarization of RS1 train ( Interior &amp; Exterior Equipments, Different Panels in Saloon, Familarization of Door system,  PA/ PIS system of RS1 train in Depot</t>
    </r>
  </si>
  <si>
    <r>
      <rPr>
        <sz val="8"/>
        <rFont val="Calibri"/>
        <family val="1"/>
      </rPr>
      <t>Crew Control Faculty</t>
    </r>
  </si>
  <si>
    <r>
      <rPr>
        <sz val="8"/>
        <rFont val="Calibri"/>
        <family val="1"/>
      </rPr>
      <t>Familarization of Cab and TIMS of RS1 Train</t>
    </r>
  </si>
  <si>
    <r>
      <rPr>
        <sz val="8"/>
        <rFont val="Calibri"/>
        <family val="1"/>
      </rPr>
      <t>Familarisation with RS13 Train</t>
    </r>
  </si>
  <si>
    <r>
      <rPr>
        <sz val="8"/>
        <rFont val="Calibri"/>
        <family val="1"/>
      </rPr>
      <t xml:space="preserve">Practical for Door  Isolation , ERD operation &amp; PEA handling in
</t>
    </r>
    <r>
      <rPr>
        <sz val="8"/>
        <rFont val="Calibri"/>
        <family val="1"/>
      </rPr>
      <t>RS1 Train</t>
    </r>
  </si>
  <si>
    <r>
      <rPr>
        <sz val="8"/>
        <rFont val="Calibri"/>
        <family val="1"/>
      </rPr>
      <t>Train to Train coupling of RS1 Train</t>
    </r>
  </si>
  <si>
    <r>
      <rPr>
        <sz val="8"/>
        <rFont val="Calibri"/>
        <family val="1"/>
      </rPr>
      <t xml:space="preserve">Practical for Isolation of BIC &amp; other cut-out Cocks, Parking Brake
</t>
    </r>
    <r>
      <rPr>
        <sz val="8"/>
        <rFont val="Calibri"/>
        <family val="1"/>
      </rPr>
      <t>Isolation in RS1 Train</t>
    </r>
  </si>
  <si>
    <r>
      <rPr>
        <sz val="8"/>
        <rFont val="Calibri"/>
        <family val="1"/>
      </rPr>
      <t xml:space="preserve">Practical for  Emergency Door Deployment &amp; Restoration in RS1
</t>
    </r>
    <r>
      <rPr>
        <sz val="8"/>
        <rFont val="Calibri"/>
        <family val="1"/>
      </rPr>
      <t>Train</t>
    </r>
  </si>
  <si>
    <r>
      <rPr>
        <sz val="8"/>
        <rFont val="Calibri"/>
        <family val="1"/>
      </rPr>
      <t>Simulator</t>
    </r>
  </si>
  <si>
    <r>
      <rPr>
        <sz val="8"/>
        <rFont val="Calibri"/>
        <family val="1"/>
      </rPr>
      <t xml:space="preserve">RS1 Simulator for Train Activation/Deactivation and preparation , Selection of various modes(coupling, washing, high tractive effort
</t>
    </r>
    <r>
      <rPr>
        <sz val="8"/>
        <rFont val="Calibri"/>
        <family val="1"/>
      </rPr>
      <t>etc.)</t>
    </r>
  </si>
  <si>
    <r>
      <rPr>
        <sz val="8"/>
        <rFont val="Calibri"/>
        <family val="1"/>
      </rPr>
      <t>Simulator Faculty</t>
    </r>
  </si>
  <si>
    <r>
      <rPr>
        <sz val="8"/>
        <rFont val="Calibri"/>
        <family val="1"/>
      </rPr>
      <t xml:space="preserve">RS1 Simulator for Brake,Pneumatic System and Door system
</t>
    </r>
    <r>
      <rPr>
        <sz val="8"/>
        <rFont val="Calibri"/>
        <family val="1"/>
      </rPr>
      <t>faults</t>
    </r>
  </si>
  <si>
    <r>
      <rPr>
        <sz val="8"/>
        <rFont val="Calibri"/>
        <family val="1"/>
      </rPr>
      <t xml:space="preserve">RS1 Simulator for Power Supply System Faults &amp; Single/Double
</t>
    </r>
    <r>
      <rPr>
        <sz val="8"/>
        <rFont val="Calibri"/>
        <family val="1"/>
      </rPr>
      <t>Unit operation</t>
    </r>
  </si>
  <si>
    <r>
      <rPr>
        <sz val="8"/>
        <rFont val="Calibri"/>
        <family val="1"/>
      </rPr>
      <t>RS1 simulator for VCC Faults, PA/ PIS faults &amp; Aircon faults</t>
    </r>
  </si>
  <si>
    <r>
      <rPr>
        <sz val="8"/>
        <rFont val="Calibri"/>
        <family val="1"/>
      </rPr>
      <t>RS1 simulator for Rescue operation and Coupling Faults</t>
    </r>
  </si>
  <si>
    <r>
      <rPr>
        <sz val="8"/>
        <rFont val="Calibri"/>
        <family val="1"/>
      </rPr>
      <t>CBT</t>
    </r>
  </si>
  <si>
    <r>
      <rPr>
        <sz val="8"/>
        <rFont val="Calibri"/>
        <family val="1"/>
      </rPr>
      <t>Train Overview and Cab Equipment RS1 train</t>
    </r>
  </si>
  <si>
    <r>
      <rPr>
        <sz val="8"/>
        <rFont val="Calibri"/>
        <family val="1"/>
      </rPr>
      <t>TIMS and  of RS1 train</t>
    </r>
  </si>
  <si>
    <r>
      <rPr>
        <sz val="8"/>
        <rFont val="Calibri"/>
        <family val="1"/>
      </rPr>
      <t>Door System of RS1 train</t>
    </r>
  </si>
  <si>
    <r>
      <rPr>
        <sz val="8"/>
        <rFont val="Calibri"/>
        <family val="1"/>
      </rPr>
      <t>PA/ PIS System and Train Radio of RS1 train</t>
    </r>
  </si>
  <si>
    <r>
      <rPr>
        <b/>
        <sz val="12"/>
        <rFont val="Calibri"/>
        <family val="1"/>
      </rPr>
      <t>SUBJECT: RS-2 Theory &amp; Troubleshooting (Train Driving Module for Outsourced</t>
    </r>
  </si>
  <si>
    <r>
      <rPr>
        <sz val="8"/>
        <rFont val="Calibri"/>
        <family val="1"/>
      </rPr>
      <t>Overview of RS2 Train &amp; its sub systems</t>
    </r>
  </si>
  <si>
    <r>
      <rPr>
        <sz val="8"/>
        <rFont val="Calibri"/>
        <family val="1"/>
      </rPr>
      <t xml:space="preserve">All Internal &amp; External Equiments, Bogie, Primary Suspension &amp;
</t>
    </r>
    <r>
      <rPr>
        <sz val="8"/>
        <rFont val="Calibri"/>
        <family val="1"/>
      </rPr>
      <t>Couplers in RS2 Train</t>
    </r>
  </si>
  <si>
    <r>
      <rPr>
        <sz val="8"/>
        <rFont val="Calibri"/>
        <family val="1"/>
      </rPr>
      <t>Cab Equipments &amp; their functionality in RS2 Train.</t>
    </r>
  </si>
  <si>
    <r>
      <rPr>
        <sz val="8"/>
        <rFont val="Calibri"/>
        <family val="1"/>
      </rPr>
      <t>Sub System</t>
    </r>
  </si>
  <si>
    <r>
      <rPr>
        <sz val="8"/>
        <rFont val="Calibri"/>
        <family val="1"/>
      </rPr>
      <t>Train Control &amp; Management System in RS2 Train</t>
    </r>
  </si>
  <si>
    <r>
      <rPr>
        <sz val="8"/>
        <rFont val="Calibri"/>
        <family val="1"/>
      </rPr>
      <t>Current Collection System &amp; Propulsion System in RS2 Train</t>
    </r>
  </si>
  <si>
    <r>
      <rPr>
        <sz val="8"/>
        <rFont val="Calibri"/>
        <family val="1"/>
      </rPr>
      <t>Auxilliary &amp; Battery System and Training Lighting in RS2 Train</t>
    </r>
  </si>
  <si>
    <r>
      <rPr>
        <sz val="8"/>
        <rFont val="Calibri"/>
        <family val="1"/>
      </rPr>
      <t>Door System and Door Loop in RS2 Train</t>
    </r>
  </si>
  <si>
    <r>
      <rPr>
        <sz val="8"/>
        <rFont val="Calibri"/>
        <family val="1"/>
      </rPr>
      <t>HVAC System in RS2 Train</t>
    </r>
  </si>
  <si>
    <r>
      <rPr>
        <sz val="8"/>
        <rFont val="Calibri"/>
        <family val="1"/>
      </rPr>
      <t>PA-PIS &amp; CCTV System in RS2 Train</t>
    </r>
  </si>
  <si>
    <r>
      <rPr>
        <sz val="8"/>
        <rFont val="Calibri"/>
        <family val="1"/>
      </rPr>
      <t xml:space="preserve">Brake System and Emergency Brake Loop in RS2 Train including
</t>
    </r>
    <r>
      <rPr>
        <sz val="8"/>
        <rFont val="Calibri"/>
        <family val="1"/>
      </rPr>
      <t>Air Suplly System</t>
    </r>
  </si>
  <si>
    <r>
      <rPr>
        <sz val="8"/>
        <rFont val="Calibri"/>
        <family val="1"/>
      </rPr>
      <t>Train Control Concept in RS2 Train</t>
    </r>
  </si>
  <si>
    <r>
      <rPr>
        <sz val="8"/>
        <rFont val="Calibri"/>
        <family val="1"/>
      </rPr>
      <t>Driving Basic In RS2 Train (Ch. 1)</t>
    </r>
  </si>
  <si>
    <r>
      <rPr>
        <sz val="8"/>
        <rFont val="Calibri"/>
        <family val="1"/>
      </rPr>
      <t xml:space="preserve">RS2 Train preparation, System Status &amp; Fault Indicators and
</t>
    </r>
    <r>
      <rPr>
        <sz val="8"/>
        <rFont val="Calibri"/>
        <family val="1"/>
      </rPr>
      <t>stabling of train (Ins 24, Ch. 3&amp;4)</t>
    </r>
  </si>
  <si>
    <r>
      <rPr>
        <sz val="8"/>
        <rFont val="Calibri"/>
        <family val="1"/>
      </rPr>
      <t>Sh Amit Sharma</t>
    </r>
  </si>
  <si>
    <r>
      <rPr>
        <sz val="8"/>
        <rFont val="Calibri"/>
        <family val="1"/>
      </rPr>
      <t>Sh Sanjay</t>
    </r>
  </si>
  <si>
    <r>
      <rPr>
        <sz val="8"/>
        <rFont val="Calibri"/>
        <family val="1"/>
      </rPr>
      <t>RS2 Train Rescue Operation (Ch.7)</t>
    </r>
  </si>
  <si>
    <r>
      <rPr>
        <sz val="8"/>
        <rFont val="Calibri"/>
        <family val="1"/>
      </rPr>
      <t>Troubleshooting Concept</t>
    </r>
  </si>
  <si>
    <r>
      <rPr>
        <sz val="8"/>
        <rFont val="Calibri"/>
        <family val="1"/>
      </rPr>
      <t>RS2 Train Brake System Troubleshooting (Ch. 2)</t>
    </r>
  </si>
  <si>
    <r>
      <rPr>
        <sz val="8"/>
        <rFont val="Calibri"/>
        <family val="1"/>
      </rPr>
      <t>RS2 Train Power Supply System Failure Troubleshooting (Ch.3.1)</t>
    </r>
  </si>
  <si>
    <r>
      <rPr>
        <sz val="8"/>
        <rFont val="Calibri"/>
        <family val="1"/>
      </rPr>
      <t xml:space="preserve">RS2 Train Power Supply System Failure Troubleshooting (Ch.3.2-
</t>
    </r>
    <r>
      <rPr>
        <sz val="8"/>
        <rFont val="Calibri"/>
        <family val="1"/>
      </rPr>
      <t>3.5)</t>
    </r>
  </si>
  <si>
    <r>
      <rPr>
        <sz val="8"/>
        <rFont val="Calibri"/>
        <family val="1"/>
      </rPr>
      <t>RS2 Train Door System Failure Troubleshooting (Ch.4)</t>
    </r>
  </si>
  <si>
    <r>
      <rPr>
        <sz val="8"/>
        <rFont val="Calibri"/>
        <family val="1"/>
      </rPr>
      <t>RS2 Train Control Faults (Ch.5)</t>
    </r>
  </si>
  <si>
    <r>
      <rPr>
        <sz val="8"/>
        <rFont val="Calibri"/>
        <family val="1"/>
      </rPr>
      <t>RS2 Train TCMS Faults (Ch. 6)</t>
    </r>
  </si>
  <si>
    <r>
      <rPr>
        <sz val="8"/>
        <rFont val="Calibri"/>
        <family val="1"/>
      </rPr>
      <t xml:space="preserve">RS2 Train HVAC Faults, PIS /CCTV Faults and Coupling faults
</t>
    </r>
    <r>
      <rPr>
        <sz val="8"/>
        <rFont val="Calibri"/>
        <family val="1"/>
      </rPr>
      <t>(Ch.7,8 &amp;9)</t>
    </r>
  </si>
  <si>
    <r>
      <rPr>
        <sz val="8"/>
        <rFont val="Calibri"/>
        <family val="1"/>
      </rPr>
      <t xml:space="preserve">Procedure for 6car &amp; 8car RS2 train,Temporary Instructions and
</t>
    </r>
    <r>
      <rPr>
        <sz val="8"/>
        <rFont val="Calibri"/>
        <family val="1"/>
      </rPr>
      <t>correction slip</t>
    </r>
  </si>
  <si>
    <r>
      <rPr>
        <sz val="8"/>
        <rFont val="Calibri"/>
        <family val="1"/>
      </rPr>
      <t xml:space="preserve">Familarization of RS2 train ( Interior &amp; Exterior Equipments,
</t>
    </r>
    <r>
      <rPr>
        <sz val="8"/>
        <rFont val="Calibri"/>
        <family val="1"/>
      </rPr>
      <t>Different Panels in Saloon, Familarization of Door system, PIS/CCTV,of RS2 train.</t>
    </r>
  </si>
  <si>
    <r>
      <rPr>
        <sz val="8"/>
        <rFont val="Calibri"/>
        <family val="1"/>
      </rPr>
      <t>Familarization of Cab and TCMS of RS2 Train.</t>
    </r>
  </si>
  <si>
    <r>
      <rPr>
        <sz val="8"/>
        <rFont val="Calibri"/>
        <family val="1"/>
      </rPr>
      <t>Practical for Door Lockout,  Door Inhibit &amp; ERD operation of RS2 train</t>
    </r>
  </si>
  <si>
    <r>
      <rPr>
        <sz val="8"/>
        <rFont val="Calibri"/>
        <family val="1"/>
      </rPr>
      <t xml:space="preserve">Practical for Brake Panel Opening &amp; Restoring , Isolation of BIC,
</t>
    </r>
    <r>
      <rPr>
        <sz val="8"/>
        <rFont val="Calibri"/>
        <family val="1"/>
      </rPr>
      <t>other cut-out Cocks &amp; Parking Brake Isolation</t>
    </r>
  </si>
  <si>
    <r>
      <rPr>
        <sz val="8"/>
        <rFont val="Calibri"/>
        <family val="1"/>
      </rPr>
      <t>Detrainment Door Deployment &amp; Restoration of RS2 train</t>
    </r>
  </si>
  <si>
    <r>
      <rPr>
        <sz val="8"/>
        <rFont val="Calibri"/>
        <family val="1"/>
      </rPr>
      <t>Train to Train coupling</t>
    </r>
  </si>
  <si>
    <r>
      <rPr>
        <sz val="8"/>
        <rFont val="Calibri"/>
        <family val="1"/>
      </rPr>
      <t>RS2 Simulator for Train Activation/Deactivation and Preparation, Selection of various modes(coupling, washing &amp; high tractive .)</t>
    </r>
  </si>
  <si>
    <r>
      <rPr>
        <sz val="8"/>
        <rFont val="Calibri"/>
        <family val="1"/>
      </rPr>
      <t xml:space="preserve">RS2 Simulator for PECU Handling, Single/Double Unit operation &amp;
</t>
    </r>
    <r>
      <rPr>
        <sz val="8"/>
        <rFont val="Calibri"/>
        <family val="1"/>
      </rPr>
      <t>Traction Block Handling,</t>
    </r>
  </si>
  <si>
    <r>
      <rPr>
        <sz val="8"/>
        <rFont val="Calibri"/>
        <family val="1"/>
      </rPr>
      <t xml:space="preserve">RS2 Simulator for Brake,Pneumatic System and Door system
</t>
    </r>
    <r>
      <rPr>
        <sz val="8"/>
        <rFont val="Calibri"/>
        <family val="1"/>
      </rPr>
      <t>faults</t>
    </r>
  </si>
  <si>
    <r>
      <rPr>
        <sz val="8"/>
        <rFont val="Calibri"/>
        <family val="1"/>
      </rPr>
      <t>RS2 Simulator for Power Supply System Faults</t>
    </r>
  </si>
  <si>
    <r>
      <rPr>
        <sz val="8"/>
        <rFont val="Calibri"/>
        <family val="1"/>
      </rPr>
      <t xml:space="preserve">RS2 simulator for Train Control Faults, TCMS faults, PIS/CCTV
</t>
    </r>
    <r>
      <rPr>
        <sz val="8"/>
        <rFont val="Calibri"/>
        <family val="1"/>
      </rPr>
      <t>faults &amp; HVAC faults</t>
    </r>
  </si>
  <si>
    <r>
      <rPr>
        <sz val="8"/>
        <rFont val="Calibri"/>
        <family val="1"/>
      </rPr>
      <t>RS2 simulator for Rescue operation and Coupling Faults</t>
    </r>
  </si>
  <si>
    <r>
      <rPr>
        <sz val="8"/>
        <rFont val="Calibri"/>
        <family val="1"/>
      </rPr>
      <t>FE of RS2 train</t>
    </r>
  </si>
  <si>
    <r>
      <rPr>
        <sz val="8"/>
        <rFont val="Calibri"/>
        <family val="1"/>
      </rPr>
      <t>TCMS,and OB communication of RS2 train</t>
    </r>
  </si>
  <si>
    <r>
      <rPr>
        <sz val="8"/>
        <rFont val="Calibri"/>
        <family val="1"/>
      </rPr>
      <t>Door system, Brake system of RS2 train</t>
    </r>
  </si>
  <si>
    <r>
      <rPr>
        <b/>
        <sz val="12"/>
        <rFont val="Calibri"/>
        <family val="1"/>
      </rPr>
      <t xml:space="preserve">SUBJECT: SOP TRAIN OPERATION &amp; PRACTICALS (Train Driving Module for Outsourced
</t>
    </r>
    <r>
      <rPr>
        <b/>
        <sz val="12"/>
        <rFont val="Calibri"/>
        <family val="1"/>
      </rPr>
      <t>Manpower)</t>
    </r>
  </si>
  <si>
    <r>
      <rPr>
        <sz val="8"/>
        <rFont val="Calibri"/>
        <family val="1"/>
      </rPr>
      <t>SOP Train Operation &amp; Practicals</t>
    </r>
  </si>
  <si>
    <r>
      <rPr>
        <sz val="8"/>
        <rFont val="Calibri"/>
        <family val="1"/>
      </rPr>
      <t>FAR/TR/Instructions  (3/1/2)</t>
    </r>
  </si>
  <si>
    <r>
      <rPr>
        <sz val="8"/>
        <rFont val="Arial MT"/>
        <family val="2"/>
      </rPr>
      <t>Sh R K Taneja</t>
    </r>
  </si>
  <si>
    <r>
      <rPr>
        <sz val="8"/>
        <rFont val="Calibri"/>
        <family val="1"/>
      </rPr>
      <t>RS1 Simulator for Communication &amp; Random Troubleshooting, Rescue Operation &amp; FAR /CBT for all RS Modules</t>
    </r>
  </si>
  <si>
    <r>
      <rPr>
        <sz val="8"/>
        <rFont val="Calibri"/>
        <family val="1"/>
      </rPr>
      <t>RS2 Simulator for Communication &amp; Random Troubleshooting, Rescue Operation &amp; FAR /CBT for all RS Modules</t>
    </r>
  </si>
  <si>
    <r>
      <rPr>
        <sz val="8"/>
        <rFont val="Calibri"/>
        <family val="1"/>
      </rPr>
      <t>SOP Train Operations (Ch-1,2,3,4,5)</t>
    </r>
  </si>
  <si>
    <r>
      <rPr>
        <sz val="8"/>
        <rFont val="Arial MT"/>
        <family val="2"/>
      </rPr>
      <t>Sh Surender</t>
    </r>
  </si>
  <si>
    <r>
      <rPr>
        <sz val="8"/>
        <rFont val="Arial MT"/>
        <family val="2"/>
      </rPr>
      <t>Sh Lokesh</t>
    </r>
  </si>
  <si>
    <r>
      <rPr>
        <sz val="8"/>
        <rFont val="Calibri"/>
        <family val="1"/>
      </rPr>
      <t>SOP Train Operations (Ch-6, 7,8,9) &amp; Addendums</t>
    </r>
  </si>
  <si>
    <r>
      <rPr>
        <b/>
        <sz val="12"/>
        <rFont val="Calibri"/>
        <family val="1"/>
      </rPr>
      <t xml:space="preserve">SUBJECT: TRAIN OPERATION IN DEGRADED MODE (Train Driving Module for Outsourced
</t>
    </r>
    <r>
      <rPr>
        <b/>
        <sz val="12"/>
        <rFont val="Calibri"/>
        <family val="1"/>
      </rPr>
      <t>Manpower)</t>
    </r>
  </si>
  <si>
    <r>
      <rPr>
        <sz val="8"/>
        <rFont val="Calibri"/>
        <family val="1"/>
      </rPr>
      <t>Train Operation in Degarded Modes (RM, ROS, Cut Out)</t>
    </r>
  </si>
  <si>
    <r>
      <rPr>
        <sz val="8"/>
        <rFont val="Calibri"/>
        <family val="1"/>
      </rPr>
      <t xml:space="preserve">Safety Circular No.
</t>
    </r>
    <r>
      <rPr>
        <sz val="8"/>
        <rFont val="Calibri"/>
        <family val="1"/>
      </rPr>
      <t>7 A/B/C and SC-25</t>
    </r>
  </si>
  <si>
    <r>
      <rPr>
        <sz val="8"/>
        <rFont val="Calibri"/>
        <family val="1"/>
      </rPr>
      <t xml:space="preserve">Role play on situations of
</t>
    </r>
    <r>
      <rPr>
        <sz val="8"/>
        <rFont val="Calibri"/>
        <family val="1"/>
      </rPr>
      <t>SC- 7 A/B/C and SC-25</t>
    </r>
  </si>
  <si>
    <r>
      <rPr>
        <sz val="8"/>
        <rFont val="Calibri"/>
        <family val="1"/>
      </rPr>
      <t>Case study 1-9  and new issue if any</t>
    </r>
  </si>
  <si>
    <r>
      <rPr>
        <sz val="8"/>
        <rFont val="Calibri"/>
        <family val="1"/>
      </rPr>
      <t xml:space="preserve">Role play on situations of
</t>
    </r>
    <r>
      <rPr>
        <sz val="8"/>
        <rFont val="Calibri"/>
        <family val="1"/>
      </rPr>
      <t>Case study 1-9</t>
    </r>
  </si>
  <si>
    <r>
      <rPr>
        <sz val="8"/>
        <rFont val="Calibri"/>
        <family val="1"/>
      </rPr>
      <t>Simulator including revision of Safety Circular 7 and related FARs (Train Operation in Non-ATP Modes)</t>
    </r>
  </si>
  <si>
    <r>
      <rPr>
        <sz val="8"/>
        <rFont val="Calibri"/>
        <family val="1"/>
      </rPr>
      <t>Train Operation in Degraded Modes Exam</t>
    </r>
  </si>
  <si>
    <r>
      <rPr>
        <sz val="8"/>
        <rFont val="Calibri"/>
        <family val="1"/>
      </rPr>
      <t>Feedback</t>
    </r>
  </si>
  <si>
    <r>
      <rPr>
        <sz val="8"/>
        <rFont val="Calibri"/>
        <family val="1"/>
      </rPr>
      <t>Feedback Session</t>
    </r>
  </si>
  <si>
    <r>
      <rPr>
        <b/>
        <sz val="12"/>
        <rFont val="Calibri"/>
        <family val="1"/>
      </rPr>
      <t>SUBJECT: Signaling, ATP -TO (ALSTOM) (Train Driving Module for Outsourced Manpower)</t>
    </r>
  </si>
  <si>
    <r>
      <rPr>
        <sz val="8"/>
        <rFont val="Calibri"/>
        <family val="1"/>
      </rPr>
      <t>Introduction to  signalling, its equipments &amp; marker boards</t>
    </r>
  </si>
  <si>
    <r>
      <rPr>
        <sz val="8"/>
        <rFont val="Calibri"/>
        <family val="1"/>
      </rPr>
      <t>Role of signlling in railway operation, Familiarization with various signalling equipments i.e. signals, point, point machine, track circuit, Authorization Push Button in Depot, ESP, Types of signals and their meanings of aspects Functions of each signalling equipment.Familarisation with different marker board and their use.</t>
    </r>
  </si>
  <si>
    <r>
      <rPr>
        <sz val="7.5"/>
        <rFont val="Verdana"/>
        <family val="2"/>
      </rPr>
      <t>Signalling Faculty</t>
    </r>
  </si>
  <si>
    <r>
      <rPr>
        <sz val="8"/>
        <rFont val="Calibri"/>
        <family val="1"/>
      </rPr>
      <t>Interlocking</t>
    </r>
  </si>
  <si>
    <r>
      <rPr>
        <sz val="8"/>
        <rFont val="Calibri"/>
        <family val="1"/>
      </rPr>
      <t>Define route, TORR, normal direction route, reverse direction route, opposite route, conflicting route, , birth circuit, first TC, last TC, fouling point, clearance point, approach section, isolation, approach locking, interlocking</t>
    </r>
  </si>
  <si>
    <r>
      <rPr>
        <sz val="8"/>
        <rFont val="Calibri"/>
        <family val="1"/>
      </rPr>
      <t xml:space="preserve">Familiarization with signalling equipments and marker board
</t>
    </r>
    <r>
      <rPr>
        <sz val="8"/>
        <rFont val="Calibri"/>
        <family val="1"/>
      </rPr>
      <t>(Practical)+CBT</t>
    </r>
  </si>
  <si>
    <r>
      <rPr>
        <sz val="8"/>
        <rFont val="Calibri"/>
        <family val="1"/>
      </rPr>
      <t>Practical familiarization with various signalling equipments i.e. signals, point, point machine, track circuit</t>
    </r>
  </si>
  <si>
    <r>
      <rPr>
        <sz val="8"/>
        <rFont val="Calibri"/>
        <family val="1"/>
      </rPr>
      <t>Introduction to ATC and ATP Hardware Familarisation</t>
    </r>
  </si>
  <si>
    <r>
      <rPr>
        <sz val="8"/>
        <rFont val="Calibri"/>
        <family val="1"/>
      </rPr>
      <t xml:space="preserve">Define train control, Difference between Manual train control system and ATC system.  Define subsystem of ATC (ATP &amp; ATO). Explain working principal of ATP i.e. distance to go.Define terms related to ATC system.Explain overall signalling and train control working with the help of block diagram.  Familiarization and functional details of  various track side equipments of ATP i.e. beacons -RB,MTIB,STIB &amp; DLR, Track side ATP cubicles.
</t>
    </r>
    <r>
      <rPr>
        <sz val="8"/>
        <rFont val="Calibri"/>
        <family val="1"/>
      </rPr>
      <t>Familiarization and functional details of  various train borne equipments i.e. pickup coil, DMI,Odo meter, manual redundancy selector switch, SCS counter, SCS switch, ATP MCBs &amp; ATP train borne Cubicle.</t>
    </r>
  </si>
  <si>
    <r>
      <rPr>
        <sz val="8"/>
        <rFont val="Calibri"/>
        <family val="1"/>
      </rPr>
      <t>DMI Familiarization</t>
    </r>
  </si>
  <si>
    <r>
      <rPr>
        <sz val="8"/>
        <rFont val="Calibri"/>
        <family val="1"/>
      </rPr>
      <t>Requirement of DMI, Introduction to various areas on DMI, Familarisation with various keys available on DMI &amp; their function, Explain various indications that appears on DMI and their meaning</t>
    </r>
  </si>
  <si>
    <r>
      <rPr>
        <sz val="8"/>
        <rFont val="Calibri"/>
        <family val="1"/>
      </rPr>
      <t>Driving mode selection &amp; Safety features of ATC</t>
    </r>
  </si>
  <si>
    <r>
      <rPr>
        <sz val="8"/>
        <rFont val="Calibri"/>
        <family val="1"/>
      </rPr>
      <t>Explain all the driving modes, their selection procedure  &amp; Related indications on DMI.  Explain various safety features provided by ATC system i.e. Speed monitoring, rollback monitoring, reverse monitoring, door authorisation,Speed Restriction and  passenger safety: ESP activation,</t>
    </r>
  </si>
  <si>
    <r>
      <rPr>
        <sz val="8"/>
        <rFont val="Calibri"/>
        <family val="1"/>
      </rPr>
      <t xml:space="preserve">Compare all the driving modes on the basis of safety features
</t>
    </r>
    <r>
      <rPr>
        <sz val="8"/>
        <rFont val="Calibri"/>
        <family val="1"/>
      </rPr>
      <t>provided by ATC system</t>
    </r>
  </si>
  <si>
    <r>
      <rPr>
        <sz val="8"/>
        <rFont val="Calibri"/>
        <family val="1"/>
      </rPr>
      <t xml:space="preserve">Define degraded modes of train operation i.e. ROS, RM &amp; Cut out
</t>
    </r>
    <r>
      <rPr>
        <sz val="8"/>
        <rFont val="Calibri"/>
        <family val="1"/>
      </rPr>
      <t>and explain where these modes are used.</t>
    </r>
  </si>
  <si>
    <r>
      <rPr>
        <sz val="8"/>
        <rFont val="Calibri"/>
        <family val="1"/>
      </rPr>
      <t xml:space="preserve">Define private number, Explain precautions to be taken by TO in
</t>
    </r>
    <r>
      <rPr>
        <sz val="8"/>
        <rFont val="Calibri"/>
        <family val="1"/>
      </rPr>
      <t>degraded mode</t>
    </r>
  </si>
  <si>
    <r>
      <rPr>
        <sz val="8"/>
        <rFont val="Calibri"/>
        <family val="1"/>
      </rPr>
      <t>Introduction to ATO  &amp; train operation in ATO mode</t>
    </r>
  </si>
  <si>
    <r>
      <rPr>
        <sz val="8"/>
        <rFont val="Calibri"/>
        <family val="1"/>
      </rPr>
      <t xml:space="preserve">Familiarization with ATO &amp; its features. Explain hardware used in ATO from operation point of view i.e. ATO position of mode selector and use of start button. Explain Circular related to ATO
</t>
    </r>
    <r>
      <rPr>
        <sz val="8"/>
        <rFont val="Calibri"/>
        <family val="1"/>
      </rPr>
      <t>mode.</t>
    </r>
  </si>
  <si>
    <r>
      <rPr>
        <sz val="7.5"/>
        <rFont val="Verdana"/>
        <family val="2"/>
      </rPr>
      <t>Sh R K Taneja</t>
    </r>
  </si>
  <si>
    <r>
      <rPr>
        <sz val="8"/>
        <rFont val="Calibri"/>
        <family val="1"/>
      </rPr>
      <t>Train Operation in mainline &amp; Depot &amp;DMI familiarization</t>
    </r>
  </si>
  <si>
    <r>
      <rPr>
        <sz val="8"/>
        <rFont val="Calibri"/>
        <family val="1"/>
      </rPr>
      <t xml:space="preserve">Explain various start-Up indication i.e. During startup &amp; After successful startup, Define- initialization, localization, Delocalization and Explain Stationary &amp; Moving  Train
</t>
    </r>
    <r>
      <rPr>
        <sz val="8"/>
        <rFont val="Calibri"/>
        <family val="1"/>
      </rPr>
      <t>Initialization and their related indications.</t>
    </r>
  </si>
  <si>
    <r>
      <rPr>
        <sz val="7.5"/>
        <rFont val="Verdana"/>
        <family val="2"/>
      </rPr>
      <t>Sh K R Ranjan</t>
    </r>
  </si>
  <si>
    <r>
      <rPr>
        <sz val="8"/>
        <rFont val="Calibri"/>
        <family val="1"/>
      </rPr>
      <t xml:space="preserve">Indications on DMI during over speed, station stopping, ESP activation, turn back on main line and various indications related to train regulation i.e. Skip station, Keep door close and Train
</t>
    </r>
    <r>
      <rPr>
        <sz val="8"/>
        <rFont val="Calibri"/>
        <family val="1"/>
      </rPr>
      <t>Hold.</t>
    </r>
  </si>
  <si>
    <r>
      <rPr>
        <sz val="8"/>
        <rFont val="Calibri"/>
        <family val="1"/>
      </rPr>
      <t>Indications on DMI during Depot exit &amp; Depot Entry</t>
    </r>
  </si>
  <si>
    <r>
      <rPr>
        <sz val="8"/>
        <rFont val="Calibri"/>
        <family val="1"/>
      </rPr>
      <t>ATP Troubleshooting</t>
    </r>
  </si>
  <si>
    <r>
      <rPr>
        <sz val="8"/>
        <rFont val="Calibri"/>
        <family val="1"/>
      </rPr>
      <t>Explain various ATP failure &amp; their troubleshooting steps defined in ATP troubleshooting chapter 8.0 (ii) of Train Operator's Handbook on troubleshooting. Explain Chapter 8.0 (i) of Train Operator's Handbook on troubleshooting</t>
    </r>
  </si>
  <si>
    <r>
      <rPr>
        <sz val="7.5"/>
        <rFont val="Verdana"/>
        <family val="2"/>
      </rPr>
      <t>Sh Lokesh</t>
    </r>
  </si>
  <si>
    <r>
      <rPr>
        <sz val="8"/>
        <rFont val="Calibri"/>
        <family val="1"/>
      </rPr>
      <t xml:space="preserve">Define steps for switching off ATP MCB &amp; steps for resetting ATP
</t>
    </r>
    <r>
      <rPr>
        <sz val="8"/>
        <rFont val="Calibri"/>
        <family val="1"/>
      </rPr>
      <t>MCB</t>
    </r>
  </si>
  <si>
    <r>
      <rPr>
        <sz val="8"/>
        <rFont val="Calibri"/>
        <family val="1"/>
      </rPr>
      <t xml:space="preserve">ATP Hardware Familasrisation, DMI indication familiarization and Driving Mode Selection (Practical)
</t>
    </r>
    <r>
      <rPr>
        <sz val="8"/>
        <rFont val="Calibri"/>
        <family val="1"/>
      </rPr>
      <t>+CBT</t>
    </r>
  </si>
  <si>
    <r>
      <rPr>
        <sz val="8"/>
        <rFont val="Calibri"/>
        <family val="1"/>
      </rPr>
      <t>Familiarization various track side equipments of ATP i.e. beacons - RB,MTIB,STIB &amp; DLR, Track side ATP cubicles. Familiarization various train borne  equipments i.e. pickup coil, DMI,Odo meter, manual redundancy selector switch, SCS counter, SCS switch, ATP MCBs &amp; ATP trainborne Cubicle.</t>
    </r>
  </si>
  <si>
    <r>
      <rPr>
        <sz val="8"/>
        <rFont val="Calibri"/>
        <family val="1"/>
      </rPr>
      <t xml:space="preserve">Show driving mode selection in train &amp; their related indications
</t>
    </r>
    <r>
      <rPr>
        <sz val="8"/>
        <rFont val="Calibri"/>
        <family val="1"/>
      </rPr>
      <t>on DMI</t>
    </r>
  </si>
  <si>
    <r>
      <rPr>
        <sz val="8"/>
        <rFont val="Calibri"/>
        <family val="1"/>
      </rPr>
      <t>Show train initialisation indication on train, explain door opening procedure in standby mode and show ATP MCB resetting steps</t>
    </r>
  </si>
  <si>
    <r>
      <rPr>
        <b/>
        <sz val="12"/>
        <rFont val="Calibri"/>
        <family val="1"/>
      </rPr>
      <t>SUBJECT: ROUTE LEARNING / TEST TRACK / SIMUALTOR DRIVING</t>
    </r>
  </si>
  <si>
    <r>
      <rPr>
        <sz val="8"/>
        <rFont val="Calibri"/>
        <family val="1"/>
      </rPr>
      <t>Route Learning</t>
    </r>
  </si>
  <si>
    <r>
      <rPr>
        <sz val="8"/>
        <rFont val="Calibri"/>
        <family val="1"/>
      </rPr>
      <t>Test Track Driving</t>
    </r>
  </si>
  <si>
    <r>
      <rPr>
        <sz val="8"/>
        <rFont val="Calibri"/>
        <family val="1"/>
      </rPr>
      <t>Simulator Driving</t>
    </r>
  </si>
  <si>
    <r>
      <rPr>
        <b/>
        <sz val="12"/>
        <rFont val="Calibri"/>
        <family val="1"/>
      </rPr>
      <t>SUBJECT: Signaling, ATP TO (Siemens) (Train Driving Module for Outsourced Manpower)</t>
    </r>
  </si>
  <si>
    <r>
      <rPr>
        <sz val="8"/>
        <rFont val="Calibri"/>
        <family val="1"/>
      </rPr>
      <t xml:space="preserve">ATP Hardware Familarisation &amp;
</t>
    </r>
    <r>
      <rPr>
        <sz val="8"/>
        <rFont val="Calibri"/>
        <family val="1"/>
      </rPr>
      <t>HMI Familarisation</t>
    </r>
  </si>
  <si>
    <r>
      <rPr>
        <sz val="8"/>
        <rFont val="Calibri"/>
        <family val="1"/>
      </rPr>
      <t xml:space="preserve">Familiarization and functional details of  various trackside
</t>
    </r>
    <r>
      <rPr>
        <sz val="8"/>
        <rFont val="Calibri"/>
        <family val="1"/>
      </rPr>
      <t>equipments of ATP i.e. Loops &amp; trackside ATP cubicle.</t>
    </r>
  </si>
  <si>
    <r>
      <rPr>
        <sz val="7.5"/>
        <rFont val="Verdana"/>
        <family val="2"/>
      </rPr>
      <t>Sh S K Pandey</t>
    </r>
  </si>
  <si>
    <r>
      <rPr>
        <sz val="7.5"/>
        <rFont val="Verdana"/>
        <family val="2"/>
      </rPr>
      <t>Sh Ashwani Gupta</t>
    </r>
  </si>
  <si>
    <r>
      <rPr>
        <sz val="8"/>
        <rFont val="Calibri"/>
        <family val="1"/>
      </rPr>
      <t xml:space="preserve">Explain all driving modes ,their selection procedure &amp; related
</t>
    </r>
    <r>
      <rPr>
        <sz val="8"/>
        <rFont val="Calibri"/>
        <family val="1"/>
      </rPr>
      <t>indications on HMI.</t>
    </r>
  </si>
  <si>
    <r>
      <rPr>
        <sz val="8"/>
        <rFont val="Calibri"/>
        <family val="1"/>
      </rPr>
      <t>Signalling Faculty</t>
    </r>
  </si>
  <si>
    <r>
      <rPr>
        <sz val="8"/>
        <rFont val="Calibri"/>
        <family val="1"/>
      </rPr>
      <t>Define degraded modes of train operation i.e. ROS, RM &amp; Cut out and explain where these modes are used. Define private number, Explain precautions to be taken by TO in degraded mode</t>
    </r>
  </si>
  <si>
    <r>
      <rPr>
        <sz val="8"/>
        <rFont val="Calibri"/>
        <family val="1"/>
      </rPr>
      <t>Train Operation In main Line and Depot</t>
    </r>
  </si>
  <si>
    <r>
      <rPr>
        <sz val="8"/>
        <rFont val="Calibri"/>
        <family val="1"/>
      </rPr>
      <t xml:space="preserve">Explain indications that appear on HMI at the time of startup &amp;
</t>
    </r>
    <r>
      <rPr>
        <sz val="8"/>
        <rFont val="Calibri"/>
        <family val="1"/>
      </rPr>
      <t>shutdown</t>
    </r>
  </si>
  <si>
    <r>
      <rPr>
        <sz val="8"/>
        <rFont val="Calibri"/>
        <family val="1"/>
      </rPr>
      <t xml:space="preserve">Explain all the indications that can come on HMI during Over speed, Station stopping, EB applications, depot entry &amp; Depot
</t>
    </r>
    <r>
      <rPr>
        <sz val="8"/>
        <rFont val="Calibri"/>
        <family val="1"/>
      </rPr>
      <t>exit.</t>
    </r>
  </si>
  <si>
    <r>
      <rPr>
        <sz val="8"/>
        <rFont val="Calibri"/>
        <family val="1"/>
      </rPr>
      <t>Explain various failure &amp; their troubleshooting steps defined in ATP troubleshooting chapter 8.0 (iii). Define steps for Switching of MS to OFF &amp; then to ATP and steps for resetting ATP MCBs</t>
    </r>
  </si>
  <si>
    <r>
      <rPr>
        <sz val="8"/>
        <rFont val="Calibri"/>
        <family val="1"/>
      </rPr>
      <t>ATP trackside  equipments, trainborne equipments  Practical at YBD/NFD)</t>
    </r>
  </si>
  <si>
    <r>
      <rPr>
        <sz val="8"/>
        <rFont val="Calibri"/>
        <family val="1"/>
      </rPr>
      <t>Familiarization with  various trackside equipments of ATP i.e. Loops &amp; trackside ATP cubicle. Familiarization with  various train borne equipments of ATP i.e. HMI, Antennas, Odometer, ATP MCBs, Redundancy Selector Switch, ROS button, SCS Switch, SCS Counter &amp; train borne ATP cubicle.</t>
    </r>
  </si>
  <si>
    <r>
      <rPr>
        <sz val="8"/>
        <rFont val="Calibri"/>
        <family val="1"/>
      </rPr>
      <t>HMI indication familiarization including initialisation indication and driving mode selection Practical at YBD/NFD)</t>
    </r>
  </si>
  <si>
    <r>
      <rPr>
        <sz val="8"/>
        <rFont val="Calibri"/>
        <family val="1"/>
      </rPr>
      <t>Explain HMI indications and driving mode selection steps</t>
    </r>
  </si>
  <si>
    <r>
      <rPr>
        <sz val="8"/>
        <rFont val="Calibri"/>
        <family val="1"/>
      </rPr>
      <t xml:space="preserve">Introduce various failures related ATP on simulator &amp; Explain their troubleshooting steps including steps for switching off MS
</t>
    </r>
    <r>
      <rPr>
        <sz val="8"/>
        <rFont val="Calibri"/>
        <family val="1"/>
      </rPr>
      <t>and steps for resetting ATP MCB.</t>
    </r>
  </si>
  <si>
    <r>
      <rPr>
        <sz val="8"/>
        <rFont val="Calibri"/>
        <family val="1"/>
      </rPr>
      <t>Feedback by batch coordinator.</t>
    </r>
  </si>
  <si>
    <r>
      <rPr>
        <b/>
        <sz val="10.5"/>
        <rFont val="Calibri"/>
        <family val="1"/>
      </rPr>
      <t>Total</t>
    </r>
  </si>
  <si>
    <t>SC-8 A, SC-27 A&amp;B, SC-35, 35A</t>
  </si>
  <si>
    <t>DMRC Contigency Plan (Fire) Reference : Revised Hand book for dealing with Serious Incidents/Accidents/Disasters</t>
  </si>
  <si>
    <r>
      <rPr>
        <sz val="11"/>
        <color theme="1"/>
        <rFont val="Aptos Narrow"/>
        <family val="1"/>
        <scheme val="minor"/>
      </rPr>
      <t>Telecom Faculty / DMRA</t>
    </r>
  </si>
  <si>
    <t>DMRA SCHEDULE</t>
  </si>
  <si>
    <t>Sh Gaurav Saxena</t>
  </si>
  <si>
    <t>Give No. of days per week</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</si>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</sst>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Aptos Narrow"/>
      <family val="2"/>
      <scheme val="minor"/>
    </font>
    <font>
      <sz val="8"/>
      <name val="Aptos Narrow"/>
      <family val="2"/>
      <scheme val="minor"/>
    </font>
    <font>
      <sz val="8"/>
      <color rgb="FF000000"/>
      <name val="Segoe UI"/>
      <family val="2"/>
    </font>
    <font>
      <sz val="11"/>
      <color theme="1"/>
      <name val="Aptos Narrow"/>
      <family val="2"/>
      <scheme val="minor"/>
    </font>
    <font>
      <b/>
      <sz val="11"/>
      <color theme="0"/>
      <name val="Aptos Narrow"/>
      <family val="2"/>
      <scheme val="minor"/>
    </font>
    <font>
      <sz val="11"/>
      <color theme="0" tint="-0.249977111117893"/>
      <name val="Aptos Narrow"/>
      <family val="2"/>
      <scheme val="minor"/>
    </font>
    <font>
      <b/>
      <u/>
      <vertAlign val="superscript"/>
      <sz val="16"/>
      <color rgb="FF000000"/>
      <name val="Aptos Narrow"/>
      <family val="2"/>
    </font>
    <font>
      <b/>
      <sz val="12"/>
      <name val="Calibri"/>
      <family val="2"/>
    </font>
    <font>
      <b/>
      <sz val="12"/>
      <name val="Calibri"/>
      <family val="1"/>
    </font>
    <font>
      <b/>
      <sz val="7.5"/>
      <name val="Calibri"/>
      <family val="2"/>
    </font>
    <font>
      <b/>
      <sz val="7.5"/>
      <name val="Calibri"/>
      <family val="1"/>
    </font>
    <font>
      <b/>
      <sz val="8"/>
      <name val="Calibri"/>
      <family val="2"/>
    </font>
    <font>
      <b/>
      <sz val="8"/>
      <name val="Calibri"/>
      <family val="1"/>
    </font>
    <font>
      <sz val="8"/>
      <name val="Calibri"/>
      <family val="2"/>
    </font>
    <font>
      <sz val="8"/>
      <name val="Calibri"/>
      <family val="1"/>
    </font>
    <font>
      <sz val="8"/>
      <color rgb="FF000000"/>
      <name val="Calibri"/>
      <family val="2"/>
    </font>
    <font>
      <b/>
      <sz val="10.5"/>
      <name val="Calibri"/>
      <family val="2"/>
    </font>
    <font>
      <b/>
      <sz val="10.5"/>
      <name val="Calibri"/>
      <family val="1"/>
    </font>
    <font>
      <b/>
      <sz val="10.5"/>
      <color rgb="FF000000"/>
      <name val="Calibri"/>
      <family val="2"/>
    </font>
    <font>
      <u/>
      <sz val="8"/>
      <name val="Calibri"/>
      <family val="1"/>
    </font>
    <font>
      <sz val="8"/>
      <color rgb="FF000000"/>
      <name val="Arial MT"/>
      <family val="2"/>
    </font>
    <font>
      <b/>
      <sz val="8"/>
      <color rgb="FF000000"/>
      <name val="Calibri"/>
      <family val="2"/>
    </font>
    <font>
      <sz val="8"/>
      <name val="Arial MT"/>
    </font>
    <font>
      <sz val="8"/>
      <name val="Arial MT"/>
      <family val="2"/>
    </font>
    <font>
      <sz val="7.5"/>
      <name val="Verdana"/>
      <family val="2"/>
    </font>
    <font>
      <sz val="11"/>
      <color theme="1"/>
      <name val="Aptos Narrow"/>
      <family val="1"/>
      <scheme val="minor"/>
    </font>
    <font>
      <b/>
      <u/>
      <sz val="36"/>
      <color theme="1"/>
      <name val="Aptos Narrow"/>
      <family val="2"/>
      <scheme val="minor"/>
    </font>
    <font>
      <sz val="11"/>
      <color theme="6" tint="0.79998168889431442"/>
      <name val="Aptos Narrow"/>
      <family val="2"/>
      <scheme val="minor"/>
    </font>
    <font>
      <sz val="11"/>
      <color theme="6" tint="0.59999389629810485"/>
      <name val="Aptos Narrow"/>
      <family val="2"/>
      <scheme val="minor"/>
    </font>
    <font>
      <sz val="11"/>
      <color theme="9" tint="0.39997558519241921"/>
      <name val="Aptos Narrow"/>
      <family val="2"/>
      <scheme val="minor"/>
    </font>
    <font>
      <sz val="11"/>
      <color rgb="FF000000"/>
      <name val="Aptos Narrow"/>
      <family val="2"/>
    </font>
  </fonts>
  <fills count="5">
    <fill>
      <patternFill patternType="none"/>
    </fill>
    <fill>
      <patternFill patternType="gray125"/>
    </fill>
    <fill>
      <patternFill patternType="solid">
        <fgColor rgb="FFA5A5A5"/>
      </patternFill>
    </fill>
    <fill>
      <patternFill patternType="solid">
        <fgColor theme="6" tint="0.59999389629810485"/>
        <bgColor indexed="65"/>
      </patternFill>
    </fill>
    <fill>
      <patternFill patternType="solid">
        <fgColor rgb="FFC3D69A"/>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style="thin">
        <color rgb="FF000000"/>
      </bottom>
      <diagonal/>
    </border>
    <border>
      <left/>
      <right/>
      <top/>
      <bottom style="thin">
        <color rgb="FF000000"/>
      </bottom>
      <diagonal/>
    </border>
    <border>
      <left style="thin">
        <color rgb="FF000000"/>
      </left>
      <right/>
      <top/>
      <bottom/>
      <diagonal/>
    </border>
  </borders>
  <cellStyleXfs count="3">
    <xf numFmtId="0" fontId="0" fillId="0" borderId="0"/>
    <xf numFmtId="0" fontId="4" fillId="2" borderId="2" applyNumberFormat="0" applyAlignment="0" applyProtection="0"/>
    <xf numFmtId="0" fontId="3" fillId="3" borderId="0" applyNumberFormat="0" applyBorder="0" applyAlignment="0" applyProtection="0"/>
  </cellStyleXfs>
  <cellXfs count="175">
    <xf numFmtId="0" fontId="0" fillId="0" borderId="0" xfId="0"/>
    <xf numFmtId="0" fontId="0" fillId="0" borderId="0" xfId="0" applyAlignment="1">
      <alignment wrapText="1"/>
    </xf>
    <xf numFmtId="0" fontId="5" fillId="0" borderId="0" xfId="0" applyFont="1"/>
    <xf numFmtId="0" fontId="0" fillId="0" borderId="0" xfId="0" applyAlignment="1">
      <alignment vertical="top"/>
    </xf>
    <xf numFmtId="0" fontId="0" fillId="0" borderId="0" xfId="0" applyProtection="1"/>
    <xf numFmtId="20" fontId="0" fillId="0" borderId="0" xfId="0" applyNumberFormat="1" applyAlignment="1" applyProtection="1">
      <alignment horizontal="center" vertical="center"/>
    </xf>
    <xf numFmtId="20" fontId="0" fillId="0" borderId="0" xfId="0" applyNumberFormat="1" applyAlignment="1" applyProtection="1">
      <alignment horizontal="center" vertical="center" wrapText="1"/>
    </xf>
    <xf numFmtId="0" fontId="0" fillId="0" borderId="8" xfId="0" applyBorder="1" applyAlignment="1" applyProtection="1">
      <alignment horizontal="center" vertical="center" wrapText="1"/>
    </xf>
    <xf numFmtId="0" fontId="0" fillId="0" borderId="3" xfId="0" applyBorder="1" applyAlignment="1" applyProtection="1">
      <alignment horizontal="center" vertical="center" wrapText="1"/>
    </xf>
    <xf numFmtId="0" fontId="0" fillId="0" borderId="4" xfId="0" applyBorder="1" applyAlignment="1" applyProtection="1">
      <alignment horizontal="center" vertical="center" wrapText="1"/>
    </xf>
    <xf numFmtId="0" fontId="0" fillId="0" borderId="10" xfId="0" applyBorder="1" applyAlignment="1" applyProtection="1">
      <alignment horizontal="center" vertical="center" wrapText="1"/>
    </xf>
    <xf numFmtId="0" fontId="0" fillId="0" borderId="9" xfId="0" applyBorder="1" applyAlignment="1" applyProtection="1">
      <alignment horizontal="center" vertical="center" wrapText="1"/>
    </xf>
    <xf numFmtId="0" fontId="0" fillId="0" borderId="0" xfId="0" applyBorder="1" applyAlignment="1" applyProtection="1">
      <alignment horizontal="center" vertical="center" wrapText="1"/>
    </xf>
    <xf numFmtId="0" fontId="0" fillId="0" borderId="6" xfId="0" applyBorder="1" applyAlignment="1" applyProtection="1">
      <alignment horizontal="center" vertical="center" wrapText="1"/>
    </xf>
    <xf numFmtId="0" fontId="0" fillId="0" borderId="5" xfId="0" applyBorder="1" applyAlignment="1" applyProtection="1">
      <alignment horizontal="center" vertical="center" wrapText="1"/>
    </xf>
    <xf numFmtId="0" fontId="0" fillId="0" borderId="7" xfId="0" applyBorder="1" applyAlignment="1" applyProtection="1">
      <alignment horizontal="center" vertical="center" wrapText="1"/>
    </xf>
    <xf numFmtId="0" fontId="3" fillId="3" borderId="1" xfId="2" applyBorder="1" applyAlignment="1">
      <alignment horizontal="center" vertical="center"/>
    </xf>
    <xf numFmtId="0" fontId="3" fillId="3" borderId="1" xfId="2" applyBorder="1"/>
    <xf numFmtId="0" fontId="0" fillId="0" borderId="0" xfId="0" applyAlignment="1">
      <alignment horizontal="left" vertical="top"/>
    </xf>
    <xf numFmtId="0" fontId="9" fillId="0" borderId="11" xfId="0" applyFont="1" applyBorder="1" applyAlignment="1">
      <alignment horizontal="left" vertical="center" wrapText="1"/>
    </xf>
    <xf numFmtId="0" fontId="9" fillId="0" borderId="11" xfId="0" applyFont="1" applyBorder="1" applyAlignment="1">
      <alignment horizontal="center" vertical="top" wrapText="1"/>
    </xf>
    <xf numFmtId="0" fontId="11" fillId="0" borderId="11" xfId="0" applyFont="1" applyBorder="1" applyAlignment="1">
      <alignment horizontal="center" vertical="top" wrapText="1"/>
    </xf>
    <xf numFmtId="0" fontId="11" fillId="0" borderId="11" xfId="0" applyFont="1" applyBorder="1" applyAlignment="1">
      <alignment horizontal="left" vertical="top" wrapText="1"/>
    </xf>
    <xf numFmtId="0" fontId="13" fillId="0" borderId="11" xfId="0" applyFont="1" applyBorder="1" applyAlignment="1">
      <alignment horizontal="left" vertical="top" wrapText="1" indent="3"/>
    </xf>
    <xf numFmtId="0" fontId="13" fillId="0" borderId="11" xfId="0" applyFont="1" applyBorder="1" applyAlignment="1">
      <alignment horizontal="center" vertical="top" wrapText="1"/>
    </xf>
    <xf numFmtId="1" fontId="15" fillId="0" borderId="11" xfId="0" applyNumberFormat="1" applyFont="1" applyBorder="1" applyAlignment="1">
      <alignment horizontal="center" vertical="center" shrinkToFit="1"/>
    </xf>
    <xf numFmtId="0" fontId="13" fillId="0" borderId="11" xfId="0" applyFont="1" applyBorder="1" applyAlignment="1">
      <alignment horizontal="left" vertical="top" wrapText="1"/>
    </xf>
    <xf numFmtId="0" fontId="13" fillId="0" borderId="11" xfId="0" applyFont="1" applyBorder="1" applyAlignment="1">
      <alignment horizontal="right" vertical="center" wrapText="1" indent="1"/>
    </xf>
    <xf numFmtId="0" fontId="13" fillId="0" borderId="11" xfId="0" applyFont="1" applyBorder="1" applyAlignment="1">
      <alignment horizontal="center" vertical="center" wrapText="1"/>
    </xf>
    <xf numFmtId="1" fontId="15" fillId="0" borderId="11" xfId="0" applyNumberFormat="1" applyFont="1" applyBorder="1" applyAlignment="1">
      <alignment horizontal="center" vertical="top" shrinkToFit="1"/>
    </xf>
    <xf numFmtId="0" fontId="13" fillId="0" borderId="11" xfId="0" applyFont="1" applyBorder="1" applyAlignment="1">
      <alignment horizontal="right" vertical="top" wrapText="1" indent="1"/>
    </xf>
    <xf numFmtId="0" fontId="0" fillId="0" borderId="11" xfId="0" applyBorder="1" applyAlignment="1">
      <alignment horizontal="left" vertical="top" wrapText="1"/>
    </xf>
    <xf numFmtId="0" fontId="13" fillId="0" borderId="11" xfId="0" applyFont="1" applyBorder="1" applyAlignment="1">
      <alignment horizontal="left" vertical="center" wrapText="1" indent="3"/>
    </xf>
    <xf numFmtId="1" fontId="18" fillId="0" borderId="11" xfId="0" applyNumberFormat="1" applyFont="1" applyBorder="1" applyAlignment="1">
      <alignment horizontal="center" vertical="top" shrinkToFit="1"/>
    </xf>
    <xf numFmtId="0" fontId="9" fillId="0" borderId="11" xfId="0" applyFont="1" applyBorder="1" applyAlignment="1">
      <alignment horizontal="left" vertical="top" wrapText="1"/>
    </xf>
    <xf numFmtId="0" fontId="13" fillId="0" borderId="11" xfId="0" applyFont="1" applyBorder="1" applyAlignment="1">
      <alignment horizontal="left" vertical="top" wrapText="1" indent="2"/>
    </xf>
    <xf numFmtId="1" fontId="15" fillId="0" borderId="12" xfId="0" applyNumberFormat="1" applyFont="1" applyBorder="1" applyAlignment="1">
      <alignment horizontal="center" vertical="top" shrinkToFit="1"/>
    </xf>
    <xf numFmtId="0" fontId="14" fillId="0" borderId="11" xfId="0" applyFont="1" applyBorder="1" applyAlignment="1">
      <alignment horizontal="right" vertical="top" wrapText="1" indent="1"/>
    </xf>
    <xf numFmtId="0" fontId="14" fillId="0" borderId="11" xfId="0" applyFont="1" applyBorder="1" applyAlignment="1">
      <alignment horizontal="center" vertical="top" wrapText="1"/>
    </xf>
    <xf numFmtId="1" fontId="15" fillId="0" borderId="13" xfId="0" applyNumberFormat="1" applyFont="1" applyBorder="1" applyAlignment="1">
      <alignment horizontal="center" vertical="top" shrinkToFit="1"/>
    </xf>
    <xf numFmtId="0" fontId="14" fillId="0" borderId="11" xfId="0" applyFont="1" applyBorder="1" applyAlignment="1">
      <alignment horizontal="left" vertical="top" wrapText="1" indent="3"/>
    </xf>
    <xf numFmtId="0" fontId="14" fillId="0" borderId="11" xfId="0" applyFont="1" applyBorder="1" applyAlignment="1">
      <alignment horizontal="left" vertical="top" wrapText="1"/>
    </xf>
    <xf numFmtId="1" fontId="15" fillId="0" borderId="14" xfId="0" applyNumberFormat="1" applyFont="1" applyBorder="1" applyAlignment="1">
      <alignment horizontal="center" vertical="top" shrinkToFit="1"/>
    </xf>
    <xf numFmtId="0" fontId="13" fillId="0" borderId="12" xfId="0" applyFont="1" applyBorder="1" applyAlignment="1">
      <alignment horizontal="left" vertical="top" wrapText="1" indent="2"/>
    </xf>
    <xf numFmtId="0" fontId="13" fillId="0" borderId="15" xfId="0" applyFont="1" applyBorder="1" applyAlignment="1">
      <alignment horizontal="left" vertical="top" wrapText="1" indent="2"/>
    </xf>
    <xf numFmtId="0" fontId="13" fillId="0" borderId="14" xfId="0" applyFont="1" applyBorder="1" applyAlignment="1">
      <alignment horizontal="right" vertical="top" wrapText="1" indent="1"/>
    </xf>
    <xf numFmtId="0" fontId="13" fillId="0" borderId="11" xfId="0" applyFont="1" applyBorder="1" applyAlignment="1">
      <alignment horizontal="left" vertical="center" wrapText="1"/>
    </xf>
    <xf numFmtId="0" fontId="13" fillId="0" borderId="11" xfId="0" applyFont="1" applyBorder="1" applyAlignment="1">
      <alignment horizontal="left" vertical="center" wrapText="1" indent="2"/>
    </xf>
    <xf numFmtId="0" fontId="13" fillId="0" borderId="12" xfId="0" applyFont="1" applyBorder="1" applyAlignment="1">
      <alignment horizontal="left" vertical="top" wrapText="1"/>
    </xf>
    <xf numFmtId="0" fontId="13" fillId="0" borderId="11" xfId="0" applyFont="1" applyBorder="1" applyAlignment="1">
      <alignment horizontal="right" vertical="center" wrapText="1" indent="2"/>
    </xf>
    <xf numFmtId="0" fontId="13" fillId="0" borderId="11" xfId="0" applyFont="1" applyBorder="1" applyAlignment="1">
      <alignment horizontal="left" vertical="top" wrapText="1" indent="1"/>
    </xf>
    <xf numFmtId="1" fontId="15" fillId="0" borderId="12" xfId="0" applyNumberFormat="1" applyFont="1" applyBorder="1" applyAlignment="1">
      <alignment horizontal="center" vertical="center" shrinkToFit="1"/>
    </xf>
    <xf numFmtId="1" fontId="15" fillId="0" borderId="13" xfId="0" applyNumberFormat="1" applyFont="1" applyBorder="1" applyAlignment="1">
      <alignment horizontal="center" vertical="center" shrinkToFit="1"/>
    </xf>
    <xf numFmtId="1" fontId="15" fillId="0" borderId="14" xfId="0" applyNumberFormat="1" applyFont="1" applyBorder="1" applyAlignment="1">
      <alignment horizontal="center" vertical="center" shrinkToFit="1"/>
    </xf>
    <xf numFmtId="0" fontId="0" fillId="0" borderId="12" xfId="0" applyBorder="1" applyAlignment="1">
      <alignment horizontal="left" vertical="top" wrapText="1"/>
    </xf>
    <xf numFmtId="0" fontId="0" fillId="0" borderId="13" xfId="0" applyBorder="1" applyAlignment="1">
      <alignment horizontal="left" vertical="top" wrapText="1"/>
    </xf>
    <xf numFmtId="1" fontId="20" fillId="0" borderId="11" xfId="0" applyNumberFormat="1" applyFont="1" applyBorder="1" applyAlignment="1">
      <alignment horizontal="center" vertical="top" shrinkToFit="1"/>
    </xf>
    <xf numFmtId="0" fontId="14" fillId="0" borderId="11" xfId="0" applyFont="1" applyBorder="1" applyAlignment="1">
      <alignment horizontal="left" vertical="top" wrapText="1" indent="2"/>
    </xf>
    <xf numFmtId="1" fontId="20" fillId="0" borderId="11" xfId="0" applyNumberFormat="1" applyFont="1" applyBorder="1" applyAlignment="1">
      <alignment horizontal="center" vertical="center" shrinkToFit="1"/>
    </xf>
    <xf numFmtId="0" fontId="13" fillId="0" borderId="11" xfId="0" applyFont="1" applyBorder="1" applyAlignment="1">
      <alignment horizontal="left" vertical="center" wrapText="1" indent="1"/>
    </xf>
    <xf numFmtId="1" fontId="21" fillId="0" borderId="11" xfId="0" applyNumberFormat="1" applyFont="1" applyBorder="1" applyAlignment="1">
      <alignment horizontal="center" vertical="top" shrinkToFit="1"/>
    </xf>
    <xf numFmtId="0" fontId="0" fillId="0" borderId="12" xfId="0" applyBorder="1" applyAlignment="1">
      <alignment horizontal="left" vertical="center" wrapText="1"/>
    </xf>
    <xf numFmtId="0" fontId="22" fillId="0" borderId="11" xfId="0" applyFont="1" applyBorder="1" applyAlignment="1">
      <alignment horizontal="center" vertical="top" wrapText="1"/>
    </xf>
    <xf numFmtId="0" fontId="23" fillId="0" borderId="11" xfId="0" applyFont="1" applyBorder="1" applyAlignment="1">
      <alignment horizontal="center" vertical="top" wrapText="1"/>
    </xf>
    <xf numFmtId="0" fontId="24" fillId="4" borderId="11" xfId="0" applyFont="1" applyFill="1" applyBorder="1" applyAlignment="1">
      <alignment horizontal="left" vertical="center" wrapText="1"/>
    </xf>
    <xf numFmtId="1" fontId="15" fillId="0" borderId="11" xfId="0" applyNumberFormat="1" applyFont="1" applyBorder="1" applyAlignment="1">
      <alignment horizontal="left" vertical="center" indent="1" shrinkToFit="1"/>
    </xf>
    <xf numFmtId="0" fontId="24" fillId="0" borderId="11" xfId="0" applyFont="1" applyBorder="1" applyAlignment="1">
      <alignment horizontal="left" vertical="center" wrapText="1"/>
    </xf>
    <xf numFmtId="0" fontId="24" fillId="0" borderId="11" xfId="0" applyFont="1" applyBorder="1" applyAlignment="1">
      <alignment horizontal="left" vertical="top" wrapText="1"/>
    </xf>
    <xf numFmtId="1" fontId="15" fillId="0" borderId="12" xfId="0" applyNumberFormat="1" applyFont="1" applyBorder="1" applyAlignment="1">
      <alignment horizontal="left" vertical="center" indent="1" shrinkToFit="1"/>
    </xf>
    <xf numFmtId="1" fontId="15" fillId="0" borderId="14" xfId="0" applyNumberFormat="1" applyFont="1" applyBorder="1" applyAlignment="1">
      <alignment horizontal="left" vertical="center" indent="1" shrinkToFit="1"/>
    </xf>
    <xf numFmtId="0" fontId="14" fillId="0" borderId="11" xfId="0" applyFont="1" applyBorder="1" applyAlignment="1">
      <alignment horizontal="center" vertical="center" wrapText="1"/>
    </xf>
    <xf numFmtId="1" fontId="15" fillId="0" borderId="15" xfId="0" applyNumberFormat="1" applyFont="1" applyBorder="1" applyAlignment="1">
      <alignment horizontal="center" vertical="top" shrinkToFit="1"/>
    </xf>
    <xf numFmtId="0" fontId="24" fillId="0" borderId="11" xfId="0" applyFont="1" applyBorder="1" applyAlignment="1">
      <alignment horizontal="center" vertical="top" wrapText="1"/>
    </xf>
    <xf numFmtId="0" fontId="0" fillId="4" borderId="14" xfId="0" applyFill="1" applyBorder="1" applyAlignment="1">
      <alignment horizontal="left" vertical="top" wrapText="1"/>
    </xf>
    <xf numFmtId="0" fontId="13" fillId="4" borderId="11" xfId="0" applyFont="1" applyFill="1" applyBorder="1" applyAlignment="1">
      <alignment horizontal="center" vertical="center" wrapText="1"/>
    </xf>
    <xf numFmtId="1" fontId="15" fillId="0" borderId="11" xfId="0" applyNumberFormat="1" applyFont="1" applyBorder="1" applyAlignment="1">
      <alignment horizontal="left" vertical="top" indent="1" shrinkToFit="1"/>
    </xf>
    <xf numFmtId="0" fontId="13" fillId="0" borderId="13" xfId="0" applyFont="1" applyBorder="1" applyAlignment="1">
      <alignment horizontal="center" vertical="center" wrapText="1"/>
    </xf>
    <xf numFmtId="1" fontId="15" fillId="0" borderId="13" xfId="0" applyNumberFormat="1" applyFont="1" applyBorder="1" applyAlignment="1">
      <alignment horizontal="center" vertical="center" wrapText="1" shrinkToFit="1"/>
    </xf>
    <xf numFmtId="0" fontId="13" fillId="0" borderId="0" xfId="0" applyFont="1" applyBorder="1" applyAlignment="1">
      <alignment horizontal="center" vertical="top" wrapText="1"/>
    </xf>
    <xf numFmtId="0" fontId="27" fillId="3" borderId="1" xfId="2" applyFont="1" applyBorder="1"/>
    <xf numFmtId="0" fontId="28" fillId="0" borderId="0" xfId="0" applyFont="1"/>
    <xf numFmtId="0" fontId="0" fillId="0" borderId="6" xfId="0" applyBorder="1" applyAlignment="1" applyProtection="1">
      <alignment horizontal="center" vertical="center" wrapText="1"/>
    </xf>
    <xf numFmtId="0" fontId="0" fillId="0" borderId="0" xfId="0" applyBorder="1"/>
    <xf numFmtId="20" fontId="0" fillId="0" borderId="0" xfId="0" applyNumberFormat="1" applyBorder="1" applyAlignment="1" applyProtection="1">
      <alignment horizontal="center" vertical="center" wrapText="1"/>
    </xf>
    <xf numFmtId="0" fontId="0" fillId="0" borderId="0" xfId="0" applyAlignment="1">
      <alignment vertical="center"/>
    </xf>
    <xf numFmtId="0" fontId="3" fillId="3" borderId="0" xfId="2"/>
    <xf numFmtId="0" fontId="29" fillId="0" borderId="0" xfId="0" applyFont="1"/>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22" xfId="0" applyBorder="1" applyAlignment="1">
      <alignment horizontal="left" vertical="top" wrapText="1"/>
    </xf>
    <xf numFmtId="0" fontId="0" fillId="0" borderId="0" xfId="0" applyAlignment="1">
      <alignment horizontal="left" vertical="top" wrapText="1"/>
    </xf>
    <xf numFmtId="0" fontId="16" fillId="0" borderId="15" xfId="0" applyFont="1" applyBorder="1" applyAlignment="1">
      <alignment horizontal="center" vertical="top" wrapText="1"/>
    </xf>
    <xf numFmtId="0" fontId="16" fillId="0" borderId="16" xfId="0" applyFont="1" applyBorder="1" applyAlignment="1">
      <alignment horizontal="center" vertical="top" wrapText="1"/>
    </xf>
    <xf numFmtId="0" fontId="16" fillId="0" borderId="17" xfId="0" applyFont="1" applyBorder="1" applyAlignment="1">
      <alignment horizontal="center" vertical="top" wrapText="1"/>
    </xf>
    <xf numFmtId="1" fontId="15" fillId="0" borderId="12" xfId="0" applyNumberFormat="1" applyFont="1" applyBorder="1" applyAlignment="1">
      <alignment horizontal="center" vertical="center" shrinkToFit="1"/>
    </xf>
    <xf numFmtId="1" fontId="15" fillId="0" borderId="13" xfId="0" applyNumberFormat="1" applyFont="1" applyBorder="1" applyAlignment="1">
      <alignment horizontal="center" vertical="center" shrinkToFit="1"/>
    </xf>
    <xf numFmtId="1" fontId="15" fillId="0" borderId="14" xfId="0" applyNumberFormat="1" applyFont="1" applyBorder="1" applyAlignment="1">
      <alignment horizontal="center" vertical="center" shrinkToFit="1"/>
    </xf>
    <xf numFmtId="0" fontId="14" fillId="0" borderId="12" xfId="0" applyFont="1" applyBorder="1" applyAlignment="1">
      <alignment horizontal="center" vertical="center" wrapText="1"/>
    </xf>
    <xf numFmtId="0" fontId="14" fillId="0" borderId="13" xfId="0" applyFont="1" applyBorder="1" applyAlignment="1">
      <alignment horizontal="center" vertical="center" wrapText="1"/>
    </xf>
    <xf numFmtId="0" fontId="14" fillId="0" borderId="14" xfId="0" applyFont="1" applyBorder="1" applyAlignment="1">
      <alignment horizontal="center" vertical="center" wrapText="1"/>
    </xf>
    <xf numFmtId="0" fontId="13" fillId="4" borderId="12" xfId="0" applyFont="1" applyFill="1" applyBorder="1" applyAlignment="1">
      <alignment horizontal="left" wrapText="1" indent="2"/>
    </xf>
    <xf numFmtId="0" fontId="13" fillId="4" borderId="13" xfId="0" applyFont="1" applyFill="1" applyBorder="1" applyAlignment="1">
      <alignment horizontal="left" wrapText="1" indent="2"/>
    </xf>
    <xf numFmtId="0" fontId="13" fillId="0" borderId="12" xfId="0" applyFont="1" applyBorder="1" applyAlignment="1">
      <alignment horizontal="left" vertical="center" wrapText="1"/>
    </xf>
    <xf numFmtId="0" fontId="13" fillId="0" borderId="14" xfId="0" applyFont="1" applyBorder="1" applyAlignment="1">
      <alignment horizontal="left" vertical="center" wrapText="1"/>
    </xf>
    <xf numFmtId="0" fontId="14" fillId="0" borderId="12" xfId="0" applyFont="1" applyBorder="1" applyAlignment="1">
      <alignment horizontal="left" vertical="center" wrapText="1" indent="2"/>
    </xf>
    <xf numFmtId="0" fontId="13" fillId="0" borderId="14" xfId="0" applyFont="1" applyBorder="1" applyAlignment="1">
      <alignment horizontal="left" vertical="center" wrapText="1" indent="2"/>
    </xf>
    <xf numFmtId="0" fontId="13" fillId="0" borderId="12" xfId="0" applyFont="1" applyBorder="1" applyAlignment="1">
      <alignment horizontal="left" vertical="center" wrapText="1" indent="3"/>
    </xf>
    <xf numFmtId="0" fontId="13" fillId="0" borderId="14" xfId="0" applyFont="1" applyBorder="1" applyAlignment="1">
      <alignment horizontal="left" vertical="center" wrapText="1" indent="3"/>
    </xf>
    <xf numFmtId="0" fontId="24" fillId="0" borderId="12" xfId="0" applyFont="1" applyBorder="1" applyAlignment="1">
      <alignment horizontal="left" vertical="center" wrapText="1" indent="3"/>
    </xf>
    <xf numFmtId="0" fontId="24" fillId="0" borderId="14" xfId="0" applyFont="1" applyBorder="1" applyAlignment="1">
      <alignment horizontal="left" vertical="center" wrapText="1" indent="3"/>
    </xf>
    <xf numFmtId="0" fontId="7" fillId="0" borderId="0" xfId="0" applyFont="1" applyAlignment="1">
      <alignment horizontal="left" vertical="top" wrapText="1" indent="9"/>
    </xf>
    <xf numFmtId="0" fontId="0" fillId="0" borderId="20" xfId="0" applyBorder="1" applyAlignment="1">
      <alignment horizontal="left" vertical="center" wrapText="1"/>
    </xf>
    <xf numFmtId="0" fontId="0" fillId="0" borderId="21" xfId="0" applyBorder="1" applyAlignment="1">
      <alignment horizontal="left" vertical="center" wrapText="1"/>
    </xf>
    <xf numFmtId="0" fontId="13" fillId="0" borderId="15" xfId="0" applyFont="1" applyBorder="1" applyAlignment="1">
      <alignment horizontal="left" vertical="top" wrapText="1"/>
    </xf>
    <xf numFmtId="0" fontId="13" fillId="0" borderId="17" xfId="0" applyFont="1" applyBorder="1" applyAlignment="1">
      <alignment horizontal="left" vertical="top" wrapText="1"/>
    </xf>
    <xf numFmtId="0" fontId="0" fillId="0" borderId="19" xfId="0" applyBorder="1" applyAlignment="1">
      <alignment horizontal="left" wrapText="1"/>
    </xf>
    <xf numFmtId="0" fontId="7" fillId="0" borderId="0" xfId="0" applyFont="1" applyAlignment="1">
      <alignment horizontal="left" vertical="top" wrapText="1" indent="2"/>
    </xf>
    <xf numFmtId="0" fontId="24" fillId="4" borderId="12" xfId="0" applyFont="1" applyFill="1" applyBorder="1" applyAlignment="1">
      <alignment horizontal="left" vertical="center" wrapText="1" indent="1"/>
    </xf>
    <xf numFmtId="0" fontId="24" fillId="4" borderId="14" xfId="0" applyFont="1" applyFill="1" applyBorder="1" applyAlignment="1">
      <alignment horizontal="left" vertical="center" wrapText="1" indent="1"/>
    </xf>
    <xf numFmtId="1" fontId="15" fillId="0" borderId="12" xfId="0" applyNumberFormat="1" applyFont="1" applyBorder="1" applyAlignment="1">
      <alignment horizontal="left" vertical="center" indent="1" shrinkToFit="1"/>
    </xf>
    <xf numFmtId="1" fontId="15" fillId="0" borderId="14" xfId="0" applyNumberFormat="1" applyFont="1" applyBorder="1" applyAlignment="1">
      <alignment horizontal="left" vertical="center" indent="1" shrinkToFit="1"/>
    </xf>
    <xf numFmtId="0" fontId="14" fillId="0" borderId="12" xfId="0" applyFont="1" applyBorder="1" applyAlignment="1">
      <alignment horizontal="left" vertical="top" wrapText="1"/>
    </xf>
    <xf numFmtId="0" fontId="13" fillId="0" borderId="14" xfId="0" applyFont="1" applyBorder="1" applyAlignment="1">
      <alignment horizontal="left" vertical="top" wrapText="1"/>
    </xf>
    <xf numFmtId="0" fontId="24" fillId="0" borderId="12" xfId="0" applyFont="1" applyBorder="1" applyAlignment="1">
      <alignment horizontal="left" vertical="center" wrapText="1" indent="1"/>
    </xf>
    <xf numFmtId="0" fontId="24" fillId="0" borderId="14" xfId="0" applyFont="1" applyBorder="1" applyAlignment="1">
      <alignment horizontal="left" vertical="center" wrapText="1" indent="1"/>
    </xf>
    <xf numFmtId="0" fontId="0" fillId="0" borderId="18" xfId="0" applyBorder="1" applyAlignment="1">
      <alignment horizontal="left" wrapText="1"/>
    </xf>
    <xf numFmtId="0" fontId="7" fillId="0" borderId="0" xfId="0" applyFont="1" applyAlignment="1">
      <alignment horizontal="left" vertical="top" wrapText="1" indent="5"/>
    </xf>
    <xf numFmtId="1" fontId="15" fillId="0" borderId="12" xfId="0" applyNumberFormat="1" applyFont="1" applyBorder="1" applyAlignment="1">
      <alignment horizontal="center" vertical="top" shrinkToFit="1"/>
    </xf>
    <xf numFmtId="1" fontId="15" fillId="0" borderId="13" xfId="0" applyNumberFormat="1" applyFont="1" applyBorder="1" applyAlignment="1">
      <alignment horizontal="center" vertical="top" shrinkToFit="1"/>
    </xf>
    <xf numFmtId="1" fontId="15" fillId="0" borderId="14" xfId="0" applyNumberFormat="1" applyFont="1" applyBorder="1" applyAlignment="1">
      <alignment horizontal="center" vertical="top" shrinkToFit="1"/>
    </xf>
    <xf numFmtId="0" fontId="13" fillId="0" borderId="12" xfId="0" applyFont="1" applyBorder="1" applyAlignment="1">
      <alignment horizontal="center" vertical="top" wrapText="1"/>
    </xf>
    <xf numFmtId="0" fontId="13" fillId="0" borderId="13" xfId="0" applyFont="1" applyBorder="1" applyAlignment="1">
      <alignment horizontal="center" vertical="top" wrapText="1"/>
    </xf>
    <xf numFmtId="0" fontId="13" fillId="0" borderId="14" xfId="0" applyFont="1" applyBorder="1" applyAlignment="1">
      <alignment horizontal="center" vertical="top" wrapText="1"/>
    </xf>
    <xf numFmtId="0" fontId="13" fillId="0" borderId="12" xfId="0" applyFont="1" applyBorder="1" applyAlignment="1">
      <alignment horizontal="left" vertical="center" wrapText="1" indent="5"/>
    </xf>
    <xf numFmtId="0" fontId="13" fillId="0" borderId="13" xfId="0" applyFont="1" applyBorder="1" applyAlignment="1">
      <alignment horizontal="left" vertical="center" wrapText="1" indent="5"/>
    </xf>
    <xf numFmtId="0" fontId="13" fillId="0" borderId="14" xfId="0" applyFont="1" applyBorder="1" applyAlignment="1">
      <alignment horizontal="left" vertical="center" wrapText="1" indent="5"/>
    </xf>
    <xf numFmtId="0" fontId="13" fillId="0" borderId="12"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3" xfId="0" applyFont="1" applyBorder="1" applyAlignment="1">
      <alignment horizontal="left" vertical="top" wrapText="1"/>
    </xf>
    <xf numFmtId="0" fontId="13" fillId="0" borderId="13" xfId="0" applyFont="1" applyBorder="1" applyAlignment="1">
      <alignment horizontal="left" vertical="center" wrapText="1"/>
    </xf>
    <xf numFmtId="0" fontId="13" fillId="0" borderId="12" xfId="0"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1" fontId="15" fillId="0" borderId="12" xfId="0" applyNumberFormat="1" applyFont="1" applyBorder="1" applyAlignment="1">
      <alignment horizontal="center" vertical="center" wrapText="1" shrinkToFit="1"/>
    </xf>
    <xf numFmtId="1" fontId="15" fillId="0" borderId="13" xfId="0" applyNumberFormat="1" applyFont="1" applyBorder="1" applyAlignment="1">
      <alignment horizontal="center" vertical="center" wrapText="1" shrinkToFit="1"/>
    </xf>
    <xf numFmtId="1" fontId="15" fillId="0" borderId="14" xfId="0" applyNumberFormat="1" applyFont="1" applyBorder="1" applyAlignment="1">
      <alignment horizontal="center" vertical="center" wrapText="1" shrinkToFi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13" fillId="0" borderId="12" xfId="0" applyFont="1" applyBorder="1" applyAlignment="1">
      <alignment horizontal="left" vertical="center" wrapText="1" indent="4"/>
    </xf>
    <xf numFmtId="0" fontId="13" fillId="0" borderId="13" xfId="0" applyFont="1" applyBorder="1" applyAlignment="1">
      <alignment horizontal="left" vertical="center" wrapText="1" indent="4"/>
    </xf>
    <xf numFmtId="0" fontId="13" fillId="0" borderId="14" xfId="0" applyFont="1" applyBorder="1" applyAlignment="1">
      <alignment horizontal="left" vertical="center" wrapText="1" indent="4"/>
    </xf>
    <xf numFmtId="0" fontId="13" fillId="0" borderId="13" xfId="0" applyFont="1" applyBorder="1" applyAlignment="1">
      <alignment horizontal="left" vertical="top" wrapText="1" indent="4"/>
    </xf>
    <xf numFmtId="0" fontId="13" fillId="0" borderId="14" xfId="0" applyFont="1" applyBorder="1" applyAlignment="1">
      <alignment horizontal="left" vertical="top" wrapText="1" indent="4"/>
    </xf>
    <xf numFmtId="0" fontId="13" fillId="0" borderId="12" xfId="0" applyFont="1" applyBorder="1" applyAlignment="1">
      <alignment horizontal="left" vertical="center" wrapText="1" indent="2"/>
    </xf>
    <xf numFmtId="0" fontId="13" fillId="0" borderId="13" xfId="0" applyFont="1" applyBorder="1" applyAlignment="1">
      <alignment horizontal="left" vertical="center" wrapText="1" indent="2"/>
    </xf>
    <xf numFmtId="0" fontId="7" fillId="0" borderId="0" xfId="0" applyFont="1" applyAlignment="1">
      <alignment horizontal="left" vertical="top" wrapText="1" indent="1"/>
    </xf>
    <xf numFmtId="0" fontId="0" fillId="0" borderId="0" xfId="0" applyAlignment="1">
      <alignment horizontal="center" vertical="top" wrapText="1"/>
    </xf>
    <xf numFmtId="0" fontId="13" fillId="0" borderId="13" xfId="0" applyFont="1" applyBorder="1" applyAlignment="1">
      <alignment horizontal="left" vertical="center" wrapText="1" indent="3"/>
    </xf>
    <xf numFmtId="0" fontId="24" fillId="4" borderId="13" xfId="0" applyFont="1" applyFill="1" applyBorder="1" applyAlignment="1">
      <alignment horizontal="left" vertical="center" wrapText="1" indent="1"/>
    </xf>
    <xf numFmtId="0" fontId="0" fillId="0" borderId="14" xfId="0" applyBorder="1" applyAlignment="1">
      <alignment horizontal="left" vertical="top" wrapText="1"/>
    </xf>
    <xf numFmtId="0" fontId="24" fillId="0" borderId="12" xfId="0" applyFont="1" applyBorder="1" applyAlignment="1">
      <alignment horizontal="left" vertical="center" wrapText="1"/>
    </xf>
    <xf numFmtId="0" fontId="24" fillId="0" borderId="13" xfId="0" applyFont="1" applyBorder="1" applyAlignment="1">
      <alignment horizontal="left" vertical="center" wrapText="1"/>
    </xf>
    <xf numFmtId="0" fontId="24" fillId="0" borderId="14" xfId="0" applyFont="1" applyBorder="1" applyAlignment="1">
      <alignment horizontal="left" vertical="center" wrapText="1"/>
    </xf>
    <xf numFmtId="0" fontId="24" fillId="0" borderId="12" xfId="0" applyFont="1" applyBorder="1" applyAlignment="1">
      <alignment horizontal="left" vertical="center" wrapText="1" indent="2"/>
    </xf>
    <xf numFmtId="0" fontId="24" fillId="0" borderId="13" xfId="0" applyFont="1" applyBorder="1" applyAlignment="1">
      <alignment horizontal="left" vertical="center" wrapText="1" indent="2"/>
    </xf>
    <xf numFmtId="0" fontId="24" fillId="0" borderId="14" xfId="0" applyFont="1" applyBorder="1" applyAlignment="1">
      <alignment horizontal="left" vertical="center" wrapText="1" indent="2"/>
    </xf>
    <xf numFmtId="0" fontId="4" fillId="2" borderId="2" xfId="1" applyAlignment="1">
      <alignment horizontal="center" vertical="top"/>
    </xf>
    <xf numFmtId="0" fontId="3" fillId="3" borderId="1" xfId="2" applyBorder="1" applyAlignment="1">
      <alignment horizontal="center" wrapText="1"/>
    </xf>
    <xf numFmtId="0" fontId="0" fillId="0" borderId="0" xfId="0" applyAlignment="1">
      <alignment horizontal="center"/>
    </xf>
    <xf numFmtId="0" fontId="0" fillId="0" borderId="0" xfId="0" applyAlignment="1">
      <alignment horizontal="center" wrapText="1"/>
    </xf>
    <xf numFmtId="0" fontId="0" fillId="0" borderId="6" xfId="0" applyBorder="1" applyAlignment="1" applyProtection="1">
      <alignment horizontal="center" vertical="center" wrapText="1"/>
    </xf>
    <xf numFmtId="0" fontId="26" fillId="0" borderId="0" xfId="0" applyFont="1" applyAlignment="1">
      <alignment horizontal="center" vertical="center"/>
    </xf>
    <xf numFmtId="0" fontId="0" fillId="0" borderId="0" xfId="0" applyAlignment="1">
      <alignment horizontal="center" vertical="center"/>
    </xf>
    <xf numFmtId="0" fontId="0" fillId="0" borderId="0" xfId="0" applyBorder="1" applyAlignment="1" applyProtection="1">
      <alignment horizontal="center" vertical="center" wrapText="1"/>
    </xf>
  </cellXfs>
  <cellStyles count="3">
    <cellStyle name="40% - Accent3" xfId="2" builtinId="39"/>
    <cellStyle name="Check Cell" xfId="1" builtinId="2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K$6"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2</xdr:col>
      <xdr:colOff>73406</xdr:colOff>
      <xdr:row>0</xdr:row>
      <xdr:rowOff>0</xdr:rowOff>
    </xdr:from>
    <xdr:ext cx="9525" cy="245745"/>
    <xdr:sp macro="" textlink="">
      <xdr:nvSpPr>
        <xdr:cNvPr id="2" name="Shape 2">
          <a:extLst>
            <a:ext uri="{FF2B5EF4-FFF2-40B4-BE49-F238E27FC236}">
              <a16:creationId xmlns:a16="http://schemas.microsoft.com/office/drawing/2014/main" id="{2A65F38B-C8C0-43CD-A3BA-EAC93C87E85B}"/>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mc:AlternateContent xmlns:mc="http://schemas.openxmlformats.org/markup-compatibility/2006">
    <mc:Choice xmlns:a14="http://schemas.microsoft.com/office/drawing/2010/main" Requires="a14">
      <xdr:twoCellAnchor>
        <xdr:from>
          <xdr:col>9</xdr:col>
          <xdr:colOff>449580</xdr:colOff>
          <xdr:row>0</xdr:row>
          <xdr:rowOff>83820</xdr:rowOff>
        </xdr:from>
        <xdr:to>
          <xdr:col>12</xdr:col>
          <xdr:colOff>106680</xdr:colOff>
          <xdr:row>0</xdr:row>
          <xdr:rowOff>502920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FEFAC5A3-D8A6-5B5E-6226-BDBAEBB304D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2</xdr:row>
          <xdr:rowOff>190500</xdr:rowOff>
        </xdr:from>
        <xdr:to>
          <xdr:col>10</xdr:col>
          <xdr:colOff>601980</xdr:colOff>
          <xdr:row>3</xdr:row>
          <xdr:rowOff>373380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1</xdr:row>
          <xdr:rowOff>30480</xdr:rowOff>
        </xdr:from>
        <xdr:to>
          <xdr:col>14</xdr:col>
          <xdr:colOff>106680</xdr:colOff>
          <xdr:row>2</xdr:row>
          <xdr:rowOff>182880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2</xdr:row>
          <xdr:rowOff>144780</xdr:rowOff>
        </xdr:from>
        <xdr:to>
          <xdr:col>13</xdr:col>
          <xdr:colOff>510540</xdr:colOff>
          <xdr:row>3</xdr:row>
          <xdr:rowOff>236220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xdr:row>
          <xdr:rowOff>320040</xdr:rowOff>
        </xdr:from>
        <xdr:to>
          <xdr:col>13</xdr:col>
          <xdr:colOff>601980</xdr:colOff>
          <xdr:row>5</xdr:row>
          <xdr:rowOff>30480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T3</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1417320</xdr:colOff>
          <xdr:row>7</xdr:row>
          <xdr:rowOff>0</xdr:rowOff>
        </xdr:from>
        <xdr:to>
          <xdr:col>11</xdr:col>
          <xdr:colOff>38100</xdr:colOff>
          <xdr:row>8</xdr:row>
          <xdr:rowOff>175260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1424940</xdr:colOff>
          <xdr:row>5</xdr:row>
          <xdr:rowOff>68580</xdr:rowOff>
        </xdr:from>
        <xdr:to>
          <xdr:col>11</xdr:col>
          <xdr:colOff>0</xdr:colOff>
          <xdr:row>6</xdr:row>
          <xdr:rowOff>198120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Topic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91440</xdr:rowOff>
        </xdr:from>
        <xdr:to>
          <xdr:col>11</xdr:col>
          <xdr:colOff>15240</xdr:colOff>
          <xdr:row>12</xdr:row>
          <xdr:rowOff>60960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777240</xdr:colOff>
          <xdr:row>0</xdr:row>
          <xdr:rowOff>762000</xdr:rowOff>
        </xdr:from>
        <xdr:to>
          <xdr:col>10</xdr:col>
          <xdr:colOff>167640</xdr:colOff>
          <xdr:row>0</xdr:row>
          <xdr:rowOff>1371600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777240</xdr:colOff>
          <xdr:row>0</xdr:row>
          <xdr:rowOff>762000</xdr:rowOff>
        </xdr:from>
        <xdr:to>
          <xdr:col>3</xdr:col>
          <xdr:colOff>1706880</xdr:colOff>
          <xdr:row>0</xdr:row>
          <xdr:rowOff>1371600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3977640</xdr:colOff>
          <xdr:row>0</xdr:row>
          <xdr:rowOff>167640</xdr:rowOff>
        </xdr:from>
        <xdr:to>
          <xdr:col>7</xdr:col>
          <xdr:colOff>3954780</xdr:colOff>
          <xdr:row>0</xdr:row>
          <xdr:rowOff>777240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777240</xdr:colOff>
          <xdr:row>0</xdr:row>
          <xdr:rowOff>762000</xdr:rowOff>
        </xdr:from>
        <xdr:to>
          <xdr:col>3</xdr:col>
          <xdr:colOff>1706880</xdr:colOff>
          <xdr:row>0</xdr:row>
          <xdr:rowOff>1371600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556260</xdr:colOff>
          <xdr:row>0</xdr:row>
          <xdr:rowOff>190500</xdr:rowOff>
        </xdr:from>
        <xdr:to>
          <xdr:col>6</xdr:col>
          <xdr:colOff>182880</xdr:colOff>
          <xdr:row>0</xdr:row>
          <xdr:rowOff>800100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281940</xdr:rowOff>
        </xdr:from>
        <xdr:to>
          <xdr:col>3</xdr:col>
          <xdr:colOff>76200</xdr:colOff>
          <xdr:row>0</xdr:row>
          <xdr:rowOff>891540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548640</xdr:colOff>
          <xdr:row>0</xdr:row>
          <xdr:rowOff>647700</xdr:rowOff>
        </xdr:from>
        <xdr:to>
          <xdr:col>9</xdr:col>
          <xdr:colOff>4800600</xdr:colOff>
          <xdr:row>0</xdr:row>
          <xdr:rowOff>1257300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777240</xdr:colOff>
          <xdr:row>0</xdr:row>
          <xdr:rowOff>762000</xdr:rowOff>
        </xdr:from>
        <xdr:to>
          <xdr:col>3</xdr:col>
          <xdr:colOff>1706880</xdr:colOff>
          <xdr:row>0</xdr:row>
          <xdr:rowOff>1371600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251460</xdr:colOff>
          <xdr:row>0</xdr:row>
          <xdr:rowOff>853440</xdr:rowOff>
        </xdr:from>
        <xdr:to>
          <xdr:col>7</xdr:col>
          <xdr:colOff>3954780</xdr:colOff>
          <xdr:row>0</xdr:row>
          <xdr:rowOff>1463040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777240</xdr:colOff>
          <xdr:row>0</xdr:row>
          <xdr:rowOff>762000</xdr:rowOff>
        </xdr:from>
        <xdr:to>
          <xdr:col>3</xdr:col>
          <xdr:colOff>1706880</xdr:colOff>
          <xdr:row>0</xdr:row>
          <xdr:rowOff>1371600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800100</xdr:rowOff>
        </xdr:from>
        <xdr:to>
          <xdr:col>5</xdr:col>
          <xdr:colOff>3680460</xdr:colOff>
          <xdr:row>0</xdr:row>
          <xdr:rowOff>1417320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830580</xdr:rowOff>
        </xdr:from>
        <xdr:to>
          <xdr:col>3</xdr:col>
          <xdr:colOff>91440</xdr:colOff>
          <xdr:row>0</xdr:row>
          <xdr:rowOff>1440180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image" Target="../media/image1.jpeg"/><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8EA93-D196-40B8-861A-AFFD2B767380}">
  <sheetPr codeName="Sheet1"/>
  <dimension ref="A1:J269"/>
  <sheetViews>
    <sheetView showGridLines="0" workbookViewId="0">
      <selection activeCell="J6" sqref="J6"/>
    </sheetView>
  </sheetViews>
  <sheetFormatPr defaultRowHeight="14.4"/>
  <cols>
    <col min="1" max="1" width="5.33203125" style="18" customWidth="1"/>
    <col min="2" max="2" width="11.33203125" style="18" bestFit="1" customWidth="1"/>
    <col min="3" max="3" width="28.44140625" style="18" customWidth="1"/>
    <col min="4" max="4" width="52.77734375" style="18" customWidth="1"/>
    <col min="5" max="5" width="8.44140625" style="18" customWidth="1"/>
    <col min="6" max="6" width="19.77734375" style="18" customWidth="1"/>
    <col min="7" max="7" width="20" style="18" customWidth="1"/>
    <col min="8" max="8" width="19.77734375" style="18" customWidth="1"/>
    <col min="9" max="9" width="2.6640625" style="18" customWidth="1"/>
    <col min="10" max="16384" width="8.88671875" style="18"/>
  </cols>
  <sheetData>
    <row r="1" spans="1:8" ht="40.65" customHeight="1">
      <c r="A1" s="19" t="s">
        <v>102</v>
      </c>
      <c r="B1" s="20" t="s">
        <v>8</v>
      </c>
      <c r="C1" s="21" t="s">
        <v>103</v>
      </c>
      <c r="D1" s="21" t="s">
        <v>104</v>
      </c>
      <c r="E1" s="22" t="s">
        <v>105</v>
      </c>
      <c r="F1" s="23" t="s">
        <v>106</v>
      </c>
      <c r="G1" s="24" t="s">
        <v>107</v>
      </c>
      <c r="H1" s="23" t="s">
        <v>108</v>
      </c>
    </row>
    <row r="2" spans="1:8" ht="44.25" customHeight="1">
      <c r="A2" s="25">
        <v>1</v>
      </c>
      <c r="B2" s="94" t="s">
        <v>9</v>
      </c>
      <c r="C2" s="26" t="s">
        <v>109</v>
      </c>
      <c r="D2" s="26" t="s">
        <v>110</v>
      </c>
      <c r="E2" s="25">
        <v>1</v>
      </c>
      <c r="F2" s="27" t="s">
        <v>111</v>
      </c>
      <c r="G2" s="28" t="s">
        <v>111</v>
      </c>
      <c r="H2" s="27" t="s">
        <v>111</v>
      </c>
    </row>
    <row r="3" spans="1:8" ht="18.75" customHeight="1">
      <c r="A3" s="29">
        <v>2</v>
      </c>
      <c r="B3" s="95"/>
      <c r="C3" s="26" t="s">
        <v>112</v>
      </c>
      <c r="D3" s="26" t="s">
        <v>113</v>
      </c>
      <c r="E3" s="29">
        <v>1</v>
      </c>
      <c r="F3" s="30" t="s">
        <v>111</v>
      </c>
      <c r="G3" s="24" t="s">
        <v>111</v>
      </c>
      <c r="H3" s="30" t="s">
        <v>111</v>
      </c>
    </row>
    <row r="4" spans="1:8" ht="24" customHeight="1">
      <c r="A4" s="29">
        <v>3</v>
      </c>
      <c r="B4" s="95"/>
      <c r="C4" s="31" t="s">
        <v>114</v>
      </c>
      <c r="D4" s="31" t="s">
        <v>115</v>
      </c>
      <c r="E4" s="29">
        <v>1</v>
      </c>
      <c r="F4" s="30" t="s">
        <v>116</v>
      </c>
      <c r="G4" s="24" t="s">
        <v>116</v>
      </c>
      <c r="H4" s="30" t="s">
        <v>116</v>
      </c>
    </row>
    <row r="5" spans="1:8" ht="12" customHeight="1">
      <c r="A5" s="29">
        <v>4</v>
      </c>
      <c r="B5" s="95"/>
      <c r="C5" s="26" t="s">
        <v>117</v>
      </c>
      <c r="D5" s="26" t="s">
        <v>118</v>
      </c>
      <c r="E5" s="29">
        <v>1</v>
      </c>
      <c r="F5" s="23" t="s">
        <v>119</v>
      </c>
      <c r="G5" s="24" t="s">
        <v>119</v>
      </c>
      <c r="H5" s="23" t="s">
        <v>119</v>
      </c>
    </row>
    <row r="6" spans="1:8" ht="44.25" customHeight="1">
      <c r="A6" s="25">
        <v>5</v>
      </c>
      <c r="B6" s="95"/>
      <c r="C6" s="26" t="s">
        <v>120</v>
      </c>
      <c r="D6" s="26" t="s">
        <v>121</v>
      </c>
      <c r="E6" s="25">
        <v>1</v>
      </c>
      <c r="F6" s="32" t="s">
        <v>122</v>
      </c>
      <c r="G6" s="28" t="s">
        <v>122</v>
      </c>
      <c r="H6" s="32" t="s">
        <v>122</v>
      </c>
    </row>
    <row r="7" spans="1:8" ht="24" customHeight="1">
      <c r="A7" s="29">
        <v>6</v>
      </c>
      <c r="B7" s="96"/>
      <c r="C7" s="26" t="s">
        <v>123</v>
      </c>
      <c r="D7" s="31" t="s">
        <v>124</v>
      </c>
      <c r="E7" s="29">
        <v>1</v>
      </c>
      <c r="F7" s="24" t="s">
        <v>125</v>
      </c>
      <c r="G7" s="24" t="s">
        <v>125</v>
      </c>
      <c r="H7" s="24" t="s">
        <v>125</v>
      </c>
    </row>
    <row r="8" spans="1:8" ht="12" customHeight="1">
      <c r="A8" s="29">
        <v>1</v>
      </c>
      <c r="B8" s="144" t="s">
        <v>10</v>
      </c>
      <c r="C8" s="136" t="s">
        <v>128</v>
      </c>
      <c r="D8" s="26" t="s">
        <v>129</v>
      </c>
      <c r="E8" s="29">
        <v>1</v>
      </c>
      <c r="F8" s="24" t="s">
        <v>130</v>
      </c>
      <c r="G8" s="35" t="s">
        <v>130</v>
      </c>
      <c r="H8" s="24" t="s">
        <v>130</v>
      </c>
    </row>
    <row r="9" spans="1:8" ht="12" customHeight="1">
      <c r="A9" s="29">
        <v>2</v>
      </c>
      <c r="B9" s="145"/>
      <c r="C9" s="137"/>
      <c r="D9" s="26" t="s">
        <v>131</v>
      </c>
      <c r="E9" s="29">
        <v>1</v>
      </c>
      <c r="F9" s="24" t="s">
        <v>130</v>
      </c>
      <c r="G9" s="35" t="s">
        <v>130</v>
      </c>
      <c r="H9" s="24" t="s">
        <v>130</v>
      </c>
    </row>
    <row r="10" spans="1:8" ht="12" customHeight="1">
      <c r="A10" s="29">
        <v>3</v>
      </c>
      <c r="B10" s="145"/>
      <c r="C10" s="137"/>
      <c r="D10" s="26" t="s">
        <v>132</v>
      </c>
      <c r="E10" s="29">
        <v>1</v>
      </c>
      <c r="F10" s="24" t="s">
        <v>130</v>
      </c>
      <c r="G10" s="35" t="s">
        <v>130</v>
      </c>
      <c r="H10" s="24" t="s">
        <v>130</v>
      </c>
    </row>
    <row r="11" spans="1:8" ht="12" customHeight="1">
      <c r="A11" s="29">
        <v>4</v>
      </c>
      <c r="B11" s="145"/>
      <c r="C11" s="137"/>
      <c r="D11" s="26" t="s">
        <v>133</v>
      </c>
      <c r="E11" s="29">
        <v>1</v>
      </c>
      <c r="F11" s="24" t="s">
        <v>130</v>
      </c>
      <c r="G11" s="35" t="s">
        <v>130</v>
      </c>
      <c r="H11" s="24" t="s">
        <v>130</v>
      </c>
    </row>
    <row r="12" spans="1:8" ht="12" customHeight="1">
      <c r="A12" s="29">
        <v>5</v>
      </c>
      <c r="B12" s="145"/>
      <c r="C12" s="137"/>
      <c r="D12" s="26" t="s">
        <v>134</v>
      </c>
      <c r="E12" s="29">
        <v>1</v>
      </c>
      <c r="F12" s="24" t="s">
        <v>130</v>
      </c>
      <c r="G12" s="35" t="s">
        <v>130</v>
      </c>
      <c r="H12" s="24" t="s">
        <v>130</v>
      </c>
    </row>
    <row r="13" spans="1:8" ht="12" customHeight="1">
      <c r="A13" s="29">
        <v>6</v>
      </c>
      <c r="B13" s="145"/>
      <c r="C13" s="137"/>
      <c r="D13" s="26" t="s">
        <v>135</v>
      </c>
      <c r="E13" s="29">
        <v>1</v>
      </c>
      <c r="F13" s="24" t="s">
        <v>130</v>
      </c>
      <c r="G13" s="35" t="s">
        <v>130</v>
      </c>
      <c r="H13" s="24" t="s">
        <v>130</v>
      </c>
    </row>
    <row r="14" spans="1:8" ht="12" customHeight="1">
      <c r="A14" s="29">
        <v>7</v>
      </c>
      <c r="B14" s="145"/>
      <c r="C14" s="137"/>
      <c r="D14" s="26" t="s">
        <v>136</v>
      </c>
      <c r="E14" s="29">
        <v>1</v>
      </c>
      <c r="F14" s="24" t="s">
        <v>130</v>
      </c>
      <c r="G14" s="35" t="s">
        <v>130</v>
      </c>
      <c r="H14" s="24" t="s">
        <v>130</v>
      </c>
    </row>
    <row r="15" spans="1:8" ht="12" customHeight="1">
      <c r="A15" s="29">
        <v>8</v>
      </c>
      <c r="B15" s="145"/>
      <c r="C15" s="137"/>
      <c r="D15" s="26" t="s">
        <v>137</v>
      </c>
      <c r="E15" s="29">
        <v>1</v>
      </c>
      <c r="F15" s="24" t="s">
        <v>130</v>
      </c>
      <c r="G15" s="35" t="s">
        <v>130</v>
      </c>
      <c r="H15" s="24" t="s">
        <v>130</v>
      </c>
    </row>
    <row r="16" spans="1:8" ht="12" customHeight="1">
      <c r="A16" s="29">
        <v>9</v>
      </c>
      <c r="B16" s="145"/>
      <c r="C16" s="137"/>
      <c r="D16" s="26" t="s">
        <v>138</v>
      </c>
      <c r="E16" s="29">
        <v>1</v>
      </c>
      <c r="F16" s="24" t="s">
        <v>130</v>
      </c>
      <c r="G16" s="35" t="s">
        <v>130</v>
      </c>
      <c r="H16" s="24" t="s">
        <v>130</v>
      </c>
    </row>
    <row r="17" spans="1:8" ht="12" customHeight="1">
      <c r="A17" s="29">
        <v>10</v>
      </c>
      <c r="B17" s="145"/>
      <c r="C17" s="137"/>
      <c r="D17" s="26" t="s">
        <v>139</v>
      </c>
      <c r="E17" s="29">
        <v>1</v>
      </c>
      <c r="F17" s="24" t="s">
        <v>130</v>
      </c>
      <c r="G17" s="35" t="s">
        <v>130</v>
      </c>
      <c r="H17" s="24" t="s">
        <v>130</v>
      </c>
    </row>
    <row r="18" spans="1:8" ht="12" customHeight="1">
      <c r="A18" s="29"/>
      <c r="B18" s="145"/>
      <c r="C18" s="137"/>
      <c r="D18" s="26" t="s">
        <v>140</v>
      </c>
      <c r="E18" s="29">
        <v>1</v>
      </c>
      <c r="F18" s="24" t="s">
        <v>130</v>
      </c>
      <c r="G18" s="35" t="s">
        <v>130</v>
      </c>
      <c r="H18" s="24" t="s">
        <v>130</v>
      </c>
    </row>
    <row r="19" spans="1:8" ht="21.9" customHeight="1">
      <c r="A19" s="29">
        <v>11</v>
      </c>
      <c r="B19" s="145"/>
      <c r="C19" s="137"/>
      <c r="D19" s="26" t="s">
        <v>140</v>
      </c>
      <c r="E19" s="29">
        <v>1</v>
      </c>
      <c r="F19" s="24" t="s">
        <v>130</v>
      </c>
      <c r="G19" s="35" t="s">
        <v>130</v>
      </c>
      <c r="H19" s="24" t="s">
        <v>130</v>
      </c>
    </row>
    <row r="20" spans="1:8" ht="21.9" customHeight="1">
      <c r="A20" s="29"/>
      <c r="B20" s="145"/>
      <c r="C20" s="137"/>
      <c r="D20" s="26" t="s">
        <v>141</v>
      </c>
      <c r="E20" s="29">
        <v>1</v>
      </c>
      <c r="F20" s="24" t="s">
        <v>130</v>
      </c>
      <c r="G20" s="35" t="s">
        <v>130</v>
      </c>
      <c r="H20" s="24" t="s">
        <v>130</v>
      </c>
    </row>
    <row r="21" spans="1:8" ht="21.9" customHeight="1">
      <c r="A21" s="29"/>
      <c r="B21" s="145"/>
      <c r="C21" s="137"/>
      <c r="D21" s="26" t="s">
        <v>141</v>
      </c>
      <c r="E21" s="29">
        <v>1</v>
      </c>
      <c r="F21" s="24" t="s">
        <v>130</v>
      </c>
      <c r="G21" s="35" t="s">
        <v>130</v>
      </c>
      <c r="H21" s="24" t="s">
        <v>130</v>
      </c>
    </row>
    <row r="22" spans="1:8" ht="12" customHeight="1">
      <c r="A22" s="29">
        <v>12</v>
      </c>
      <c r="B22" s="145"/>
      <c r="C22" s="137"/>
      <c r="D22" s="26" t="s">
        <v>141</v>
      </c>
      <c r="E22" s="29">
        <v>1</v>
      </c>
      <c r="F22" s="24" t="s">
        <v>130</v>
      </c>
      <c r="G22" s="35" t="s">
        <v>130</v>
      </c>
      <c r="H22" s="24" t="s">
        <v>130</v>
      </c>
    </row>
    <row r="23" spans="1:8" ht="12" customHeight="1">
      <c r="A23" s="29"/>
      <c r="B23" s="145"/>
      <c r="C23" s="76"/>
      <c r="D23" s="26" t="s">
        <v>142</v>
      </c>
      <c r="E23" s="29">
        <v>1</v>
      </c>
      <c r="F23" s="24" t="s">
        <v>130</v>
      </c>
      <c r="G23" s="24" t="s">
        <v>130</v>
      </c>
      <c r="H23" s="24" t="s">
        <v>130</v>
      </c>
    </row>
    <row r="24" spans="1:8" ht="12" customHeight="1">
      <c r="A24" s="29">
        <v>13</v>
      </c>
      <c r="B24" s="145"/>
      <c r="C24" s="147"/>
      <c r="D24" s="26" t="s">
        <v>142</v>
      </c>
      <c r="E24" s="29">
        <v>1</v>
      </c>
      <c r="F24" s="24" t="s">
        <v>130</v>
      </c>
      <c r="G24" s="24" t="s">
        <v>130</v>
      </c>
      <c r="H24" s="24" t="s">
        <v>130</v>
      </c>
    </row>
    <row r="25" spans="1:8" ht="12" customHeight="1">
      <c r="A25" s="29">
        <v>14</v>
      </c>
      <c r="B25" s="145"/>
      <c r="C25" s="148"/>
      <c r="D25" s="26" t="s">
        <v>143</v>
      </c>
      <c r="E25" s="29">
        <v>1</v>
      </c>
      <c r="F25" s="24" t="s">
        <v>130</v>
      </c>
      <c r="G25" s="24" t="s">
        <v>130</v>
      </c>
      <c r="H25" s="24" t="s">
        <v>130</v>
      </c>
    </row>
    <row r="26" spans="1:8" ht="24" customHeight="1">
      <c r="A26" s="29">
        <v>15</v>
      </c>
      <c r="B26" s="145"/>
      <c r="C26" s="133" t="s">
        <v>144</v>
      </c>
      <c r="D26" s="31" t="s">
        <v>145</v>
      </c>
      <c r="E26" s="94">
        <v>1</v>
      </c>
      <c r="F26" s="24" t="s">
        <v>146</v>
      </c>
      <c r="G26" s="24" t="s">
        <v>146</v>
      </c>
      <c r="H26" s="24" t="s">
        <v>146</v>
      </c>
    </row>
    <row r="27" spans="1:8" ht="12" customHeight="1">
      <c r="A27" s="29">
        <v>16</v>
      </c>
      <c r="B27" s="145"/>
      <c r="C27" s="134"/>
      <c r="D27" s="26" t="s">
        <v>147</v>
      </c>
      <c r="E27" s="96"/>
      <c r="F27" s="24" t="s">
        <v>146</v>
      </c>
      <c r="G27" s="24" t="s">
        <v>146</v>
      </c>
      <c r="H27" s="24" t="s">
        <v>146</v>
      </c>
    </row>
    <row r="28" spans="1:8" ht="12" customHeight="1">
      <c r="A28" s="29">
        <v>17</v>
      </c>
      <c r="B28" s="145"/>
      <c r="C28" s="134"/>
      <c r="D28" s="26" t="s">
        <v>148</v>
      </c>
      <c r="E28" s="29">
        <v>1</v>
      </c>
      <c r="F28" s="24" t="s">
        <v>146</v>
      </c>
      <c r="G28" s="24" t="s">
        <v>146</v>
      </c>
      <c r="H28" s="24" t="s">
        <v>146</v>
      </c>
    </row>
    <row r="29" spans="1:8" ht="24" customHeight="1">
      <c r="A29" s="29">
        <v>18</v>
      </c>
      <c r="B29" s="145"/>
      <c r="C29" s="134"/>
      <c r="D29" s="31" t="s">
        <v>149</v>
      </c>
      <c r="E29" s="29">
        <v>1</v>
      </c>
      <c r="F29" s="24" t="s">
        <v>146</v>
      </c>
      <c r="G29" s="24" t="s">
        <v>146</v>
      </c>
      <c r="H29" s="24" t="s">
        <v>146</v>
      </c>
    </row>
    <row r="30" spans="1:8" ht="24" customHeight="1">
      <c r="A30" s="29"/>
      <c r="B30" s="145"/>
      <c r="C30" s="134"/>
      <c r="D30" s="31" t="s">
        <v>150</v>
      </c>
      <c r="E30" s="29">
        <v>1</v>
      </c>
      <c r="F30" s="24" t="s">
        <v>146</v>
      </c>
      <c r="G30" s="24" t="s">
        <v>146</v>
      </c>
      <c r="H30" s="24" t="s">
        <v>146</v>
      </c>
    </row>
    <row r="31" spans="1:8" ht="24" customHeight="1">
      <c r="A31" s="29">
        <v>19</v>
      </c>
      <c r="B31" s="145"/>
      <c r="C31" s="134"/>
      <c r="D31" s="31" t="s">
        <v>150</v>
      </c>
      <c r="E31" s="29">
        <v>1</v>
      </c>
      <c r="F31" s="24" t="s">
        <v>146</v>
      </c>
      <c r="G31" s="24" t="s">
        <v>146</v>
      </c>
      <c r="H31" s="24" t="s">
        <v>146</v>
      </c>
    </row>
    <row r="32" spans="1:8" ht="41.25" customHeight="1">
      <c r="A32" s="29">
        <v>20</v>
      </c>
      <c r="B32" s="145"/>
      <c r="C32" s="135"/>
      <c r="D32" s="26" t="s">
        <v>151</v>
      </c>
      <c r="E32" s="29">
        <v>1</v>
      </c>
      <c r="F32" s="24" t="s">
        <v>146</v>
      </c>
      <c r="G32" s="24" t="s">
        <v>146</v>
      </c>
      <c r="H32" s="24" t="s">
        <v>146</v>
      </c>
    </row>
    <row r="33" spans="1:8" ht="12" customHeight="1">
      <c r="A33" s="29">
        <v>21</v>
      </c>
      <c r="B33" s="145"/>
      <c r="C33" s="136" t="s">
        <v>152</v>
      </c>
      <c r="D33" s="26" t="s">
        <v>153</v>
      </c>
      <c r="E33" s="29">
        <v>1</v>
      </c>
      <c r="F33" s="24" t="s">
        <v>154</v>
      </c>
      <c r="G33" s="24" t="s">
        <v>154</v>
      </c>
      <c r="H33" s="24" t="s">
        <v>154</v>
      </c>
    </row>
    <row r="34" spans="1:8" ht="21.9" customHeight="1">
      <c r="A34" s="29">
        <v>22</v>
      </c>
      <c r="B34" s="145"/>
      <c r="C34" s="137"/>
      <c r="D34" s="26" t="s">
        <v>155</v>
      </c>
      <c r="E34" s="29">
        <v>1</v>
      </c>
      <c r="F34" s="24" t="s">
        <v>154</v>
      </c>
      <c r="G34" s="24" t="s">
        <v>154</v>
      </c>
      <c r="H34" s="24" t="s">
        <v>154</v>
      </c>
    </row>
    <row r="35" spans="1:8" ht="24" customHeight="1">
      <c r="A35" s="29">
        <v>23</v>
      </c>
      <c r="B35" s="146"/>
      <c r="C35" s="138"/>
      <c r="D35" s="31" t="s">
        <v>156</v>
      </c>
      <c r="E35" s="29">
        <v>1</v>
      </c>
      <c r="F35" s="24" t="s">
        <v>154</v>
      </c>
      <c r="G35" s="24" t="s">
        <v>154</v>
      </c>
      <c r="H35" s="24" t="s">
        <v>154</v>
      </c>
    </row>
    <row r="36" spans="1:8" ht="24" customHeight="1">
      <c r="A36" s="29"/>
      <c r="B36" s="77"/>
      <c r="C36" s="76"/>
      <c r="D36" s="26" t="s">
        <v>158</v>
      </c>
      <c r="E36" s="29">
        <v>1</v>
      </c>
      <c r="F36" s="37" t="s">
        <v>48</v>
      </c>
      <c r="G36" s="38" t="s">
        <v>49</v>
      </c>
      <c r="H36" s="30" t="s">
        <v>159</v>
      </c>
    </row>
    <row r="37" spans="1:8" ht="12.75" customHeight="1">
      <c r="A37" s="29">
        <v>1</v>
      </c>
      <c r="B37" s="36"/>
      <c r="C37" s="102" t="s">
        <v>157</v>
      </c>
      <c r="D37" s="26" t="s">
        <v>158</v>
      </c>
      <c r="E37" s="29">
        <v>1</v>
      </c>
      <c r="F37" s="37" t="s">
        <v>48</v>
      </c>
      <c r="G37" s="38" t="s">
        <v>49</v>
      </c>
      <c r="H37" s="30" t="s">
        <v>159</v>
      </c>
    </row>
    <row r="38" spans="1:8" ht="12.75" customHeight="1">
      <c r="A38" s="29"/>
      <c r="B38" s="39"/>
      <c r="C38" s="140"/>
      <c r="D38" s="26" t="s">
        <v>160</v>
      </c>
      <c r="E38" s="29">
        <v>1</v>
      </c>
      <c r="F38" s="35" t="s">
        <v>161</v>
      </c>
      <c r="G38" s="24" t="s">
        <v>162</v>
      </c>
      <c r="H38" s="23" t="s">
        <v>163</v>
      </c>
    </row>
    <row r="39" spans="1:8">
      <c r="A39" s="29">
        <v>2</v>
      </c>
      <c r="B39" s="39"/>
      <c r="C39" s="140"/>
      <c r="D39" s="26" t="s">
        <v>160</v>
      </c>
      <c r="E39" s="29">
        <v>1</v>
      </c>
      <c r="F39" s="35" t="s">
        <v>161</v>
      </c>
      <c r="G39" s="24" t="s">
        <v>162</v>
      </c>
      <c r="H39" s="23" t="s">
        <v>163</v>
      </c>
    </row>
    <row r="40" spans="1:8">
      <c r="A40" s="29"/>
      <c r="B40" s="39"/>
      <c r="C40" s="140"/>
      <c r="D40" s="26" t="s">
        <v>164</v>
      </c>
      <c r="E40" s="29">
        <v>1</v>
      </c>
      <c r="F40" s="24" t="s">
        <v>165</v>
      </c>
      <c r="G40" s="37" t="s">
        <v>50</v>
      </c>
      <c r="H40" s="40" t="s">
        <v>51</v>
      </c>
    </row>
    <row r="41" spans="1:8">
      <c r="A41" s="29">
        <v>3</v>
      </c>
      <c r="B41" s="39"/>
      <c r="C41" s="140"/>
      <c r="D41" s="26" t="s">
        <v>164</v>
      </c>
      <c r="E41" s="29">
        <v>1</v>
      </c>
      <c r="F41" s="24" t="s">
        <v>165</v>
      </c>
      <c r="G41" s="37" t="s">
        <v>50</v>
      </c>
      <c r="H41" s="40" t="s">
        <v>51</v>
      </c>
    </row>
    <row r="42" spans="1:8">
      <c r="A42" s="29">
        <v>4</v>
      </c>
      <c r="B42" s="39"/>
      <c r="C42" s="140"/>
      <c r="D42" s="41" t="s">
        <v>52</v>
      </c>
      <c r="E42" s="127">
        <v>1</v>
      </c>
      <c r="F42" s="23" t="s">
        <v>163</v>
      </c>
      <c r="G42" s="24" t="s">
        <v>166</v>
      </c>
      <c r="H42" s="30" t="s">
        <v>48</v>
      </c>
    </row>
    <row r="43" spans="1:8">
      <c r="A43" s="29">
        <v>5</v>
      </c>
      <c r="B43" s="39"/>
      <c r="C43" s="140"/>
      <c r="D43" s="26" t="s">
        <v>167</v>
      </c>
      <c r="E43" s="129"/>
      <c r="F43" s="35" t="s">
        <v>161</v>
      </c>
      <c r="G43" s="24" t="s">
        <v>166</v>
      </c>
      <c r="H43" s="35" t="s">
        <v>53</v>
      </c>
    </row>
    <row r="44" spans="1:8">
      <c r="A44" s="29"/>
      <c r="B44" s="39"/>
      <c r="C44" s="140"/>
      <c r="D44" s="26" t="s">
        <v>168</v>
      </c>
      <c r="E44" s="29">
        <v>1</v>
      </c>
      <c r="F44" s="30" t="s">
        <v>169</v>
      </c>
      <c r="G44" s="24" t="s">
        <v>161</v>
      </c>
      <c r="H44" s="30" t="s">
        <v>48</v>
      </c>
    </row>
    <row r="45" spans="1:8">
      <c r="A45" s="29">
        <v>6</v>
      </c>
      <c r="B45" s="39"/>
      <c r="C45" s="140"/>
      <c r="D45" s="26" t="s">
        <v>168</v>
      </c>
      <c r="E45" s="29">
        <v>1</v>
      </c>
      <c r="F45" s="30" t="s">
        <v>169</v>
      </c>
      <c r="G45" s="24" t="s">
        <v>161</v>
      </c>
      <c r="H45" s="30" t="s">
        <v>48</v>
      </c>
    </row>
    <row r="46" spans="1:8" ht="20.399999999999999">
      <c r="A46" s="29">
        <v>7</v>
      </c>
      <c r="B46" s="39"/>
      <c r="C46" s="140"/>
      <c r="D46" s="31" t="s">
        <v>170</v>
      </c>
      <c r="E46" s="29">
        <v>1</v>
      </c>
      <c r="F46" s="37" t="s">
        <v>53</v>
      </c>
      <c r="G46" s="24" t="s">
        <v>48</v>
      </c>
      <c r="H46" s="30" t="s">
        <v>171</v>
      </c>
    </row>
    <row r="47" spans="1:8">
      <c r="A47" s="29">
        <v>8</v>
      </c>
      <c r="B47" s="39"/>
      <c r="C47" s="140"/>
      <c r="D47" s="26" t="s">
        <v>172</v>
      </c>
      <c r="E47" s="29">
        <v>1</v>
      </c>
      <c r="F47" s="30" t="s">
        <v>169</v>
      </c>
      <c r="G47" s="24" t="s">
        <v>166</v>
      </c>
      <c r="H47" s="35" t="s">
        <v>54</v>
      </c>
    </row>
    <row r="48" spans="1:8">
      <c r="A48" s="29">
        <v>9</v>
      </c>
      <c r="B48" s="42"/>
      <c r="C48" s="103"/>
      <c r="D48" s="26" t="s">
        <v>173</v>
      </c>
      <c r="E48" s="29">
        <v>1</v>
      </c>
      <c r="F48" s="40" t="s">
        <v>55</v>
      </c>
      <c r="G48" s="24" t="s">
        <v>169</v>
      </c>
      <c r="H48" s="35" t="s">
        <v>174</v>
      </c>
    </row>
    <row r="49" spans="1:10" ht="12.75" customHeight="1">
      <c r="A49" s="29">
        <v>10</v>
      </c>
      <c r="B49" s="29"/>
      <c r="C49" s="26" t="s">
        <v>175</v>
      </c>
      <c r="D49" s="26" t="s">
        <v>176</v>
      </c>
      <c r="E49" s="29">
        <v>1</v>
      </c>
      <c r="F49" s="30" t="s">
        <v>165</v>
      </c>
      <c r="G49" s="24" t="s">
        <v>174</v>
      </c>
      <c r="H49" s="30" t="s">
        <v>48</v>
      </c>
    </row>
    <row r="50" spans="1:10" ht="12.75" customHeight="1">
      <c r="A50" s="29"/>
      <c r="B50" s="29"/>
      <c r="C50" s="26"/>
      <c r="D50" s="26" t="s">
        <v>177</v>
      </c>
      <c r="E50" s="29">
        <v>1</v>
      </c>
      <c r="F50" s="30" t="s">
        <v>48</v>
      </c>
      <c r="G50" s="24" t="s">
        <v>166</v>
      </c>
      <c r="H50" s="35" t="s">
        <v>178</v>
      </c>
    </row>
    <row r="51" spans="1:10">
      <c r="A51" s="29">
        <v>11</v>
      </c>
      <c r="B51" s="29"/>
      <c r="C51" s="26" t="s">
        <v>175</v>
      </c>
      <c r="D51" s="26" t="s">
        <v>177</v>
      </c>
      <c r="E51" s="29">
        <v>1</v>
      </c>
      <c r="F51" s="30" t="s">
        <v>48</v>
      </c>
      <c r="G51" s="24" t="s">
        <v>166</v>
      </c>
      <c r="H51" s="35" t="s">
        <v>178</v>
      </c>
    </row>
    <row r="52" spans="1:10">
      <c r="A52" s="29">
        <v>12</v>
      </c>
      <c r="B52" s="29"/>
      <c r="C52" s="26" t="s">
        <v>175</v>
      </c>
      <c r="D52" s="26" t="s">
        <v>179</v>
      </c>
      <c r="E52" s="29">
        <v>1</v>
      </c>
      <c r="F52" s="30" t="s">
        <v>169</v>
      </c>
      <c r="G52" s="24" t="s">
        <v>48</v>
      </c>
      <c r="H52" s="35" t="s">
        <v>180</v>
      </c>
    </row>
    <row r="53" spans="1:10" ht="20.399999999999999">
      <c r="A53" s="29">
        <v>13</v>
      </c>
      <c r="B53" s="29"/>
      <c r="C53" s="31" t="s">
        <v>181</v>
      </c>
      <c r="D53" s="26" t="s">
        <v>182</v>
      </c>
      <c r="E53" s="29">
        <v>1</v>
      </c>
      <c r="F53" s="30" t="s">
        <v>159</v>
      </c>
      <c r="G53" s="24" t="s">
        <v>161</v>
      </c>
      <c r="H53" s="30" t="s">
        <v>48</v>
      </c>
    </row>
    <row r="54" spans="1:10" ht="12.75" customHeight="1">
      <c r="A54" s="29">
        <v>14</v>
      </c>
      <c r="B54" s="29"/>
      <c r="C54" s="26" t="s">
        <v>175</v>
      </c>
      <c r="D54" s="26" t="s">
        <v>183</v>
      </c>
      <c r="E54" s="29">
        <v>1</v>
      </c>
      <c r="F54" s="23" t="s">
        <v>53</v>
      </c>
      <c r="G54" s="24" t="s">
        <v>161</v>
      </c>
      <c r="H54" s="35" t="s">
        <v>178</v>
      </c>
    </row>
    <row r="55" spans="1:10" ht="12.75" customHeight="1">
      <c r="A55" s="29"/>
      <c r="B55" s="29"/>
      <c r="C55" s="26"/>
      <c r="D55" s="26" t="s">
        <v>185</v>
      </c>
      <c r="E55" s="29">
        <v>1</v>
      </c>
      <c r="F55" s="30" t="s">
        <v>48</v>
      </c>
      <c r="G55" s="38" t="s">
        <v>53</v>
      </c>
      <c r="H55" s="37" t="s">
        <v>56</v>
      </c>
    </row>
    <row r="56" spans="1:10">
      <c r="A56" s="29">
        <v>15</v>
      </c>
      <c r="B56" s="29"/>
      <c r="C56" s="26" t="s">
        <v>184</v>
      </c>
      <c r="D56" s="26" t="s">
        <v>185</v>
      </c>
      <c r="E56" s="29">
        <v>1</v>
      </c>
      <c r="F56" s="30" t="s">
        <v>48</v>
      </c>
      <c r="G56" s="38" t="s">
        <v>53</v>
      </c>
      <c r="H56" s="37" t="s">
        <v>56</v>
      </c>
    </row>
    <row r="57" spans="1:10">
      <c r="A57" s="29"/>
      <c r="B57" s="29"/>
      <c r="C57" s="26"/>
      <c r="D57" s="26" t="s">
        <v>186</v>
      </c>
      <c r="E57" s="29">
        <v>1</v>
      </c>
      <c r="F57" s="30" t="s">
        <v>169</v>
      </c>
      <c r="G57" s="24" t="s">
        <v>162</v>
      </c>
      <c r="H57" s="43" t="s">
        <v>174</v>
      </c>
    </row>
    <row r="58" spans="1:10">
      <c r="A58" s="29">
        <v>16</v>
      </c>
      <c r="B58" s="29"/>
      <c r="C58" s="26" t="s">
        <v>175</v>
      </c>
      <c r="D58" s="26" t="s">
        <v>186</v>
      </c>
      <c r="E58" s="29">
        <v>1</v>
      </c>
      <c r="F58" s="30" t="s">
        <v>169</v>
      </c>
      <c r="G58" s="24" t="s">
        <v>162</v>
      </c>
      <c r="H58" s="43" t="s">
        <v>174</v>
      </c>
    </row>
    <row r="59" spans="1:10">
      <c r="A59" s="29">
        <v>17</v>
      </c>
      <c r="B59" s="29"/>
      <c r="C59" s="26" t="s">
        <v>175</v>
      </c>
      <c r="D59" s="41" t="s">
        <v>413</v>
      </c>
      <c r="E59" s="29">
        <v>1</v>
      </c>
      <c r="F59" s="24" t="s">
        <v>162</v>
      </c>
      <c r="G59" s="44" t="s">
        <v>174</v>
      </c>
      <c r="H59" s="43" t="s">
        <v>57</v>
      </c>
      <c r="J59" s="23"/>
    </row>
    <row r="60" spans="1:10">
      <c r="A60" s="29">
        <v>18</v>
      </c>
      <c r="B60" s="29"/>
      <c r="C60" s="26" t="s">
        <v>175</v>
      </c>
      <c r="D60" s="26" t="s">
        <v>187</v>
      </c>
      <c r="E60" s="29">
        <v>1</v>
      </c>
      <c r="F60" s="35" t="s">
        <v>161</v>
      </c>
      <c r="G60" s="24" t="s">
        <v>166</v>
      </c>
      <c r="H60" s="45" t="s">
        <v>48</v>
      </c>
    </row>
    <row r="61" spans="1:10">
      <c r="A61" s="29"/>
      <c r="B61" s="29"/>
      <c r="C61" s="26"/>
      <c r="D61" s="26" t="s">
        <v>187</v>
      </c>
      <c r="E61" s="29">
        <v>1</v>
      </c>
      <c r="F61" s="35" t="s">
        <v>161</v>
      </c>
      <c r="G61" s="24" t="s">
        <v>166</v>
      </c>
      <c r="H61" s="45" t="s">
        <v>48</v>
      </c>
    </row>
    <row r="62" spans="1:10">
      <c r="A62" s="25">
        <v>19</v>
      </c>
      <c r="B62" s="25"/>
      <c r="C62" s="46" t="s">
        <v>175</v>
      </c>
      <c r="D62" s="46" t="s">
        <v>188</v>
      </c>
      <c r="E62" s="25">
        <v>1</v>
      </c>
      <c r="F62" s="40" t="s">
        <v>55</v>
      </c>
      <c r="G62" s="28" t="s">
        <v>53</v>
      </c>
      <c r="H62" s="47" t="s">
        <v>178</v>
      </c>
    </row>
    <row r="63" spans="1:10">
      <c r="A63" s="29">
        <v>20</v>
      </c>
      <c r="B63" s="29"/>
      <c r="C63" s="26" t="s">
        <v>175</v>
      </c>
      <c r="D63" s="26" t="s">
        <v>189</v>
      </c>
      <c r="E63" s="29">
        <v>1</v>
      </c>
      <c r="F63" s="23" t="s">
        <v>190</v>
      </c>
      <c r="G63" s="24" t="s">
        <v>190</v>
      </c>
      <c r="H63" s="23" t="s">
        <v>190</v>
      </c>
    </row>
    <row r="64" spans="1:10" ht="20.399999999999999">
      <c r="A64" s="29"/>
      <c r="B64" s="29"/>
      <c r="C64" s="26"/>
      <c r="D64" s="41" t="s">
        <v>414</v>
      </c>
      <c r="E64" s="25">
        <v>1</v>
      </c>
      <c r="F64" s="32" t="s">
        <v>190</v>
      </c>
      <c r="G64" s="28" t="s">
        <v>190</v>
      </c>
      <c r="H64" s="32" t="s">
        <v>190</v>
      </c>
    </row>
    <row r="65" spans="1:8" ht="20.399999999999999">
      <c r="A65" s="25">
        <v>21</v>
      </c>
      <c r="B65" s="25"/>
      <c r="C65" s="46" t="s">
        <v>191</v>
      </c>
      <c r="D65" s="41" t="s">
        <v>414</v>
      </c>
      <c r="E65" s="25">
        <v>1</v>
      </c>
      <c r="F65" s="32" t="s">
        <v>190</v>
      </c>
      <c r="G65" s="28" t="s">
        <v>190</v>
      </c>
      <c r="H65" s="32" t="s">
        <v>190</v>
      </c>
    </row>
    <row r="66" spans="1:8">
      <c r="A66" s="29">
        <v>22</v>
      </c>
      <c r="B66" s="29"/>
      <c r="C66" s="26" t="s">
        <v>191</v>
      </c>
      <c r="D66" s="26" t="s">
        <v>192</v>
      </c>
      <c r="E66" s="29">
        <v>1</v>
      </c>
      <c r="F66" s="23" t="s">
        <v>190</v>
      </c>
      <c r="G66" s="24" t="s">
        <v>190</v>
      </c>
      <c r="H66" s="23" t="s">
        <v>190</v>
      </c>
    </row>
    <row r="67" spans="1:8" ht="20.399999999999999">
      <c r="A67" s="25">
        <v>23</v>
      </c>
      <c r="B67" s="25"/>
      <c r="C67" s="46" t="s">
        <v>193</v>
      </c>
      <c r="D67" s="26" t="s">
        <v>194</v>
      </c>
      <c r="E67" s="25">
        <v>1</v>
      </c>
      <c r="F67" s="49" t="s">
        <v>195</v>
      </c>
      <c r="G67" s="28" t="s">
        <v>195</v>
      </c>
      <c r="H67" s="47" t="s">
        <v>195</v>
      </c>
    </row>
    <row r="68" spans="1:8" ht="30.6">
      <c r="A68" s="25"/>
      <c r="B68" s="25"/>
      <c r="C68" s="46"/>
      <c r="D68" s="26" t="s">
        <v>197</v>
      </c>
      <c r="E68" s="25">
        <v>1</v>
      </c>
      <c r="F68" s="28" t="s">
        <v>48</v>
      </c>
      <c r="G68" s="28" t="s">
        <v>53</v>
      </c>
      <c r="H68" s="28" t="s">
        <v>56</v>
      </c>
    </row>
    <row r="69" spans="1:8" ht="30.6">
      <c r="A69" s="25">
        <v>24</v>
      </c>
      <c r="B69" s="25"/>
      <c r="C69" s="46" t="s">
        <v>196</v>
      </c>
      <c r="D69" s="26" t="s">
        <v>197</v>
      </c>
      <c r="E69" s="25">
        <v>1</v>
      </c>
      <c r="F69" s="28" t="s">
        <v>48</v>
      </c>
      <c r="G69" s="28" t="s">
        <v>53</v>
      </c>
      <c r="H69" s="28" t="s">
        <v>56</v>
      </c>
    </row>
    <row r="70" spans="1:8">
      <c r="A70" s="29">
        <v>25</v>
      </c>
      <c r="B70" s="29"/>
      <c r="C70" s="26" t="s">
        <v>196</v>
      </c>
      <c r="D70" s="26" t="s">
        <v>198</v>
      </c>
      <c r="E70" s="29">
        <v>1</v>
      </c>
      <c r="F70" s="24" t="s">
        <v>48</v>
      </c>
      <c r="G70" s="24" t="s">
        <v>199</v>
      </c>
      <c r="H70" s="24" t="s">
        <v>161</v>
      </c>
    </row>
    <row r="71" spans="1:8">
      <c r="A71" s="29">
        <v>26</v>
      </c>
      <c r="B71" s="29"/>
      <c r="C71" s="26" t="s">
        <v>200</v>
      </c>
      <c r="D71" s="46" t="s">
        <v>201</v>
      </c>
      <c r="E71" s="29">
        <v>1</v>
      </c>
      <c r="F71" s="28" t="s">
        <v>53</v>
      </c>
      <c r="G71" s="24" t="s">
        <v>48</v>
      </c>
      <c r="H71" s="24" t="s">
        <v>161</v>
      </c>
    </row>
    <row r="72" spans="1:8">
      <c r="A72" s="29">
        <v>27</v>
      </c>
      <c r="B72" s="29"/>
      <c r="C72" s="26" t="s">
        <v>202</v>
      </c>
      <c r="D72" s="26" t="s">
        <v>203</v>
      </c>
      <c r="E72" s="29">
        <v>1</v>
      </c>
      <c r="F72" s="24" t="s">
        <v>111</v>
      </c>
      <c r="G72" s="24" t="s">
        <v>111</v>
      </c>
      <c r="H72" s="24" t="s">
        <v>111</v>
      </c>
    </row>
    <row r="73" spans="1:8">
      <c r="A73" s="36"/>
      <c r="B73" s="36"/>
      <c r="C73" s="48"/>
      <c r="D73" s="26"/>
      <c r="E73" s="36"/>
      <c r="F73" s="78"/>
      <c r="G73" s="78"/>
      <c r="H73" s="78"/>
    </row>
    <row r="74" spans="1:8">
      <c r="A74" s="36"/>
      <c r="B74" s="36"/>
      <c r="C74" s="48"/>
      <c r="D74" s="26"/>
      <c r="E74" s="36"/>
      <c r="F74" s="78"/>
      <c r="G74" s="78"/>
      <c r="H74" s="78"/>
    </row>
    <row r="75" spans="1:8">
      <c r="A75" s="36"/>
      <c r="B75" s="36"/>
      <c r="C75" s="48"/>
      <c r="D75" s="26"/>
      <c r="E75" s="36"/>
      <c r="F75" s="78"/>
      <c r="G75" s="78"/>
      <c r="H75" s="78"/>
    </row>
    <row r="76" spans="1:8">
      <c r="A76" s="36"/>
      <c r="B76" s="36"/>
      <c r="C76" s="48"/>
      <c r="D76" s="26"/>
      <c r="E76" s="36"/>
      <c r="F76" s="78"/>
      <c r="G76" s="78"/>
      <c r="H76" s="78"/>
    </row>
    <row r="77" spans="1:8">
      <c r="A77" s="36"/>
      <c r="B77" s="36"/>
      <c r="C77" s="48"/>
      <c r="D77" s="26"/>
      <c r="E77" s="36"/>
      <c r="F77" s="78"/>
      <c r="G77" s="78"/>
      <c r="H77" s="78"/>
    </row>
    <row r="78" spans="1:8">
      <c r="A78" s="36"/>
      <c r="B78" s="36"/>
      <c r="C78" s="48"/>
      <c r="D78" s="26"/>
      <c r="E78" s="36"/>
      <c r="F78" s="78"/>
      <c r="G78" s="78"/>
      <c r="H78" s="78"/>
    </row>
    <row r="79" spans="1:8">
      <c r="A79" s="36"/>
      <c r="B79" s="36"/>
      <c r="C79" s="48"/>
      <c r="D79" s="26"/>
      <c r="E79" s="36"/>
      <c r="F79" s="78"/>
      <c r="G79" s="78"/>
      <c r="H79" s="78"/>
    </row>
    <row r="80" spans="1:8" ht="12.75" customHeight="1">
      <c r="A80" s="127">
        <v>1</v>
      </c>
      <c r="B80" s="36"/>
      <c r="C80" s="141" t="s">
        <v>204</v>
      </c>
      <c r="D80" s="26" t="s">
        <v>205</v>
      </c>
      <c r="E80" s="94">
        <v>1</v>
      </c>
      <c r="F80" t="s">
        <v>415</v>
      </c>
      <c r="G80" t="s">
        <v>415</v>
      </c>
      <c r="H80" t="s">
        <v>415</v>
      </c>
    </row>
    <row r="81" spans="1:8">
      <c r="A81" s="128"/>
      <c r="B81" s="39"/>
      <c r="C81" s="139"/>
      <c r="D81" s="26" t="s">
        <v>206</v>
      </c>
      <c r="E81" s="95"/>
      <c r="F81" t="s">
        <v>415</v>
      </c>
      <c r="G81" t="s">
        <v>415</v>
      </c>
      <c r="H81" t="s">
        <v>415</v>
      </c>
    </row>
    <row r="82" spans="1:8">
      <c r="A82" s="128"/>
      <c r="B82" s="39"/>
      <c r="C82" s="139"/>
      <c r="D82" s="26" t="s">
        <v>207</v>
      </c>
      <c r="E82" s="95"/>
      <c r="F82" t="s">
        <v>415</v>
      </c>
      <c r="G82" t="s">
        <v>415</v>
      </c>
      <c r="H82" t="s">
        <v>415</v>
      </c>
    </row>
    <row r="83" spans="1:8">
      <c r="A83" s="129"/>
      <c r="B83" s="42"/>
      <c r="C83" s="122"/>
      <c r="D83" s="26" t="s">
        <v>208</v>
      </c>
      <c r="E83" s="95"/>
      <c r="F83" t="s">
        <v>415</v>
      </c>
      <c r="G83" t="s">
        <v>415</v>
      </c>
      <c r="H83" t="s">
        <v>415</v>
      </c>
    </row>
    <row r="84" spans="1:8">
      <c r="A84" s="94">
        <v>2</v>
      </c>
      <c r="B84" s="51"/>
      <c r="C84" s="102" t="s">
        <v>209</v>
      </c>
      <c r="D84" s="26" t="s">
        <v>210</v>
      </c>
      <c r="E84" s="95"/>
      <c r="F84" t="s">
        <v>415</v>
      </c>
      <c r="G84" t="s">
        <v>415</v>
      </c>
      <c r="H84" t="s">
        <v>415</v>
      </c>
    </row>
    <row r="85" spans="1:8">
      <c r="A85" s="95"/>
      <c r="B85" s="52"/>
      <c r="C85" s="140"/>
      <c r="D85" s="26" t="s">
        <v>211</v>
      </c>
      <c r="E85" s="95"/>
      <c r="F85" t="s">
        <v>415</v>
      </c>
      <c r="G85" t="s">
        <v>415</v>
      </c>
      <c r="H85" t="s">
        <v>415</v>
      </c>
    </row>
    <row r="86" spans="1:8">
      <c r="A86" s="95"/>
      <c r="B86" s="52"/>
      <c r="C86" s="140"/>
      <c r="D86" s="26" t="s">
        <v>212</v>
      </c>
      <c r="E86" s="95"/>
      <c r="F86" t="s">
        <v>415</v>
      </c>
      <c r="G86" t="s">
        <v>415</v>
      </c>
      <c r="H86" t="s">
        <v>415</v>
      </c>
    </row>
    <row r="87" spans="1:8">
      <c r="A87" s="96"/>
      <c r="B87" s="53"/>
      <c r="C87" s="103"/>
      <c r="D87" s="26" t="s">
        <v>213</v>
      </c>
      <c r="E87" s="96"/>
      <c r="F87" t="s">
        <v>415</v>
      </c>
      <c r="G87" t="s">
        <v>415</v>
      </c>
      <c r="H87" t="s">
        <v>415</v>
      </c>
    </row>
    <row r="88" spans="1:8" ht="12.75" customHeight="1">
      <c r="A88" s="94">
        <v>3</v>
      </c>
      <c r="B88" s="51"/>
      <c r="C88" s="102" t="s">
        <v>214</v>
      </c>
      <c r="D88" s="46" t="s">
        <v>215</v>
      </c>
      <c r="E88" s="94">
        <v>2</v>
      </c>
      <c r="F88" t="s">
        <v>415</v>
      </c>
      <c r="G88" t="s">
        <v>415</v>
      </c>
      <c r="H88" t="s">
        <v>415</v>
      </c>
    </row>
    <row r="89" spans="1:8">
      <c r="A89" s="95"/>
      <c r="B89" s="52"/>
      <c r="C89" s="140"/>
      <c r="D89" s="26" t="s">
        <v>217</v>
      </c>
      <c r="E89" s="95"/>
      <c r="F89" t="s">
        <v>415</v>
      </c>
      <c r="G89" t="s">
        <v>415</v>
      </c>
      <c r="H89" t="s">
        <v>415</v>
      </c>
    </row>
    <row r="90" spans="1:8">
      <c r="A90" s="95"/>
      <c r="B90" s="52"/>
      <c r="C90" s="140"/>
      <c r="D90" s="46" t="s">
        <v>218</v>
      </c>
      <c r="E90" s="95"/>
      <c r="F90" t="s">
        <v>415</v>
      </c>
      <c r="G90" t="s">
        <v>415</v>
      </c>
      <c r="H90" t="s">
        <v>415</v>
      </c>
    </row>
    <row r="91" spans="1:8">
      <c r="A91" s="96"/>
      <c r="B91" s="53"/>
      <c r="C91" s="103"/>
      <c r="D91" s="26" t="s">
        <v>219</v>
      </c>
      <c r="E91" s="95"/>
      <c r="F91" t="s">
        <v>415</v>
      </c>
      <c r="G91" t="s">
        <v>415</v>
      </c>
      <c r="H91" t="s">
        <v>415</v>
      </c>
    </row>
    <row r="92" spans="1:8">
      <c r="A92" s="94">
        <v>4</v>
      </c>
      <c r="B92" s="51"/>
      <c r="C92" s="102" t="s">
        <v>220</v>
      </c>
      <c r="D92" s="26" t="s">
        <v>221</v>
      </c>
      <c r="E92" s="95"/>
      <c r="F92" t="s">
        <v>415</v>
      </c>
      <c r="G92" t="s">
        <v>415</v>
      </c>
      <c r="H92" t="s">
        <v>415</v>
      </c>
    </row>
    <row r="93" spans="1:8" ht="20.399999999999999">
      <c r="A93" s="95"/>
      <c r="B93" s="52"/>
      <c r="C93" s="140"/>
      <c r="D93" s="31" t="s">
        <v>222</v>
      </c>
      <c r="E93" s="95"/>
      <c r="F93" t="s">
        <v>415</v>
      </c>
      <c r="G93" t="s">
        <v>415</v>
      </c>
      <c r="H93" t="s">
        <v>415</v>
      </c>
    </row>
    <row r="94" spans="1:8">
      <c r="A94" s="95"/>
      <c r="B94" s="52"/>
      <c r="C94" s="140"/>
      <c r="D94" s="26" t="s">
        <v>223</v>
      </c>
      <c r="E94" s="95"/>
      <c r="F94" t="s">
        <v>415</v>
      </c>
      <c r="G94" t="s">
        <v>415</v>
      </c>
      <c r="H94" t="s">
        <v>415</v>
      </c>
    </row>
    <row r="95" spans="1:8">
      <c r="A95" s="96"/>
      <c r="B95" s="53"/>
      <c r="C95" s="103"/>
      <c r="D95" s="26" t="s">
        <v>224</v>
      </c>
      <c r="E95" s="96"/>
      <c r="F95" t="s">
        <v>415</v>
      </c>
      <c r="G95" t="s">
        <v>415</v>
      </c>
      <c r="H95" t="s">
        <v>415</v>
      </c>
    </row>
    <row r="96" spans="1:8" ht="12.75" customHeight="1">
      <c r="A96" s="94">
        <v>5</v>
      </c>
      <c r="B96" s="51"/>
      <c r="C96" s="102" t="s">
        <v>225</v>
      </c>
      <c r="D96" s="26" t="s">
        <v>226</v>
      </c>
      <c r="E96" s="94">
        <v>1</v>
      </c>
      <c r="F96" t="s">
        <v>415</v>
      </c>
      <c r="G96" t="s">
        <v>415</v>
      </c>
      <c r="H96" t="s">
        <v>415</v>
      </c>
    </row>
    <row r="97" spans="1:8">
      <c r="A97" s="95"/>
      <c r="B97" s="52"/>
      <c r="C97" s="140"/>
      <c r="D97" s="26" t="s">
        <v>227</v>
      </c>
      <c r="E97" s="95"/>
      <c r="F97" t="s">
        <v>415</v>
      </c>
      <c r="G97" t="s">
        <v>415</v>
      </c>
      <c r="H97" t="s">
        <v>415</v>
      </c>
    </row>
    <row r="98" spans="1:8">
      <c r="A98" s="96"/>
      <c r="B98" s="53"/>
      <c r="C98" s="103"/>
      <c r="D98" s="26" t="s">
        <v>228</v>
      </c>
      <c r="E98" s="96"/>
      <c r="F98" t="s">
        <v>415</v>
      </c>
      <c r="G98" t="s">
        <v>415</v>
      </c>
      <c r="H98" t="s">
        <v>415</v>
      </c>
    </row>
    <row r="99" spans="1:8">
      <c r="A99" s="142"/>
      <c r="B99" s="54"/>
      <c r="C99" s="142"/>
      <c r="D99" s="26" t="s">
        <v>229</v>
      </c>
      <c r="E99" s="142"/>
      <c r="F99" t="s">
        <v>415</v>
      </c>
      <c r="G99" t="s">
        <v>415</v>
      </c>
      <c r="H99" t="s">
        <v>415</v>
      </c>
    </row>
    <row r="100" spans="1:8">
      <c r="A100" s="143"/>
      <c r="B100" s="55"/>
      <c r="C100" s="143"/>
      <c r="D100" s="26" t="s">
        <v>230</v>
      </c>
      <c r="E100" s="143"/>
      <c r="F100" t="s">
        <v>415</v>
      </c>
      <c r="G100" t="s">
        <v>415</v>
      </c>
      <c r="H100" t="s">
        <v>415</v>
      </c>
    </row>
    <row r="101" spans="1:8" ht="12.75" customHeight="1">
      <c r="A101" s="128">
        <v>6</v>
      </c>
      <c r="B101" s="39"/>
      <c r="C101" s="139" t="s">
        <v>231</v>
      </c>
      <c r="D101" s="26" t="s">
        <v>232</v>
      </c>
      <c r="E101" s="128">
        <v>2</v>
      </c>
      <c r="F101" t="s">
        <v>415</v>
      </c>
      <c r="G101" t="s">
        <v>415</v>
      </c>
      <c r="H101" t="s">
        <v>415</v>
      </c>
    </row>
    <row r="102" spans="1:8">
      <c r="A102" s="128"/>
      <c r="B102" s="39"/>
      <c r="C102" s="139"/>
      <c r="D102" s="50" t="s">
        <v>233</v>
      </c>
      <c r="E102" s="128"/>
      <c r="F102" t="s">
        <v>415</v>
      </c>
      <c r="G102" t="s">
        <v>415</v>
      </c>
      <c r="H102" t="s">
        <v>415</v>
      </c>
    </row>
    <row r="103" spans="1:8">
      <c r="A103" s="128"/>
      <c r="B103" s="39"/>
      <c r="C103" s="139"/>
      <c r="D103" s="50" t="s">
        <v>234</v>
      </c>
      <c r="E103" s="128"/>
      <c r="F103" t="s">
        <v>415</v>
      </c>
      <c r="G103" t="s">
        <v>415</v>
      </c>
      <c r="H103" t="s">
        <v>415</v>
      </c>
    </row>
    <row r="104" spans="1:8">
      <c r="A104" s="128"/>
      <c r="B104" s="39"/>
      <c r="C104" s="139"/>
      <c r="D104" s="26" t="s">
        <v>235</v>
      </c>
      <c r="E104" s="128"/>
      <c r="F104" t="s">
        <v>415</v>
      </c>
      <c r="G104" t="s">
        <v>415</v>
      </c>
      <c r="H104" t="s">
        <v>415</v>
      </c>
    </row>
    <row r="105" spans="1:8">
      <c r="A105" s="128"/>
      <c r="B105" s="39"/>
      <c r="C105" s="139"/>
      <c r="D105" s="50" t="s">
        <v>236</v>
      </c>
      <c r="E105" s="128"/>
      <c r="F105" t="s">
        <v>415</v>
      </c>
      <c r="G105" t="s">
        <v>415</v>
      </c>
      <c r="H105" t="s">
        <v>415</v>
      </c>
    </row>
    <row r="106" spans="1:8">
      <c r="A106" s="128"/>
      <c r="B106" s="39"/>
      <c r="C106" s="139"/>
      <c r="D106" s="50" t="s">
        <v>237</v>
      </c>
      <c r="E106" s="128"/>
      <c r="F106" t="s">
        <v>415</v>
      </c>
      <c r="G106" t="s">
        <v>415</v>
      </c>
      <c r="H106" t="s">
        <v>415</v>
      </c>
    </row>
    <row r="107" spans="1:8">
      <c r="A107" s="128"/>
      <c r="B107" s="39"/>
      <c r="C107" s="139"/>
      <c r="D107" s="26" t="s">
        <v>238</v>
      </c>
      <c r="E107" s="128"/>
      <c r="F107" t="s">
        <v>415</v>
      </c>
      <c r="G107" t="s">
        <v>415</v>
      </c>
      <c r="H107" t="s">
        <v>415</v>
      </c>
    </row>
    <row r="108" spans="1:8">
      <c r="A108" s="128"/>
      <c r="B108" s="39"/>
      <c r="C108" s="139"/>
      <c r="D108" s="50" t="s">
        <v>239</v>
      </c>
      <c r="E108" s="128"/>
      <c r="F108" t="s">
        <v>415</v>
      </c>
      <c r="G108" t="s">
        <v>415</v>
      </c>
      <c r="H108" t="s">
        <v>415</v>
      </c>
    </row>
    <row r="109" spans="1:8">
      <c r="A109" s="129"/>
      <c r="B109" s="42"/>
      <c r="C109" s="122"/>
      <c r="D109" s="50" t="s">
        <v>240</v>
      </c>
      <c r="E109" s="129"/>
      <c r="F109" t="s">
        <v>415</v>
      </c>
      <c r="G109" t="s">
        <v>415</v>
      </c>
      <c r="H109" t="s">
        <v>415</v>
      </c>
    </row>
    <row r="110" spans="1:8">
      <c r="A110" s="29">
        <v>7</v>
      </c>
      <c r="B110" s="29"/>
      <c r="C110" s="26" t="s">
        <v>202</v>
      </c>
      <c r="D110" s="26" t="s">
        <v>241</v>
      </c>
      <c r="E110" s="29">
        <v>1</v>
      </c>
      <c r="F110" s="50" t="s">
        <v>111</v>
      </c>
      <c r="G110" s="50" t="s">
        <v>111</v>
      </c>
      <c r="H110" s="50" t="s">
        <v>111</v>
      </c>
    </row>
    <row r="111" spans="1:8" ht="14.25" customHeight="1">
      <c r="A111" s="91" t="s">
        <v>126</v>
      </c>
      <c r="B111" s="92"/>
      <c r="C111" s="92"/>
      <c r="D111" s="93"/>
      <c r="E111" s="33">
        <v>7</v>
      </c>
      <c r="F111" s="125"/>
      <c r="G111" s="115"/>
      <c r="H111" s="115"/>
    </row>
    <row r="113" spans="1:9" ht="15.75" customHeight="1">
      <c r="A113" s="126" t="s">
        <v>242</v>
      </c>
      <c r="B113" s="126"/>
      <c r="C113" s="126"/>
      <c r="D113" s="126"/>
      <c r="E113" s="126"/>
      <c r="F113" s="126"/>
      <c r="G113" s="126"/>
      <c r="H113" s="126"/>
      <c r="I113" s="126"/>
    </row>
    <row r="114" spans="1:9" ht="20.399999999999999">
      <c r="A114" s="34" t="s">
        <v>102</v>
      </c>
      <c r="B114" s="34"/>
      <c r="C114" s="21" t="s">
        <v>103</v>
      </c>
      <c r="D114" s="21" t="s">
        <v>104</v>
      </c>
      <c r="E114" s="31" t="s">
        <v>127</v>
      </c>
      <c r="F114" s="111"/>
      <c r="G114" s="112"/>
      <c r="H114" s="112"/>
    </row>
    <row r="115" spans="1:9">
      <c r="A115" s="94">
        <v>1</v>
      </c>
      <c r="B115" s="51"/>
      <c r="C115" s="136" t="s">
        <v>243</v>
      </c>
      <c r="D115" s="26" t="s">
        <v>244</v>
      </c>
      <c r="E115" s="56">
        <v>1</v>
      </c>
      <c r="F115" s="24" t="s">
        <v>174</v>
      </c>
      <c r="G115" s="50" t="s">
        <v>165</v>
      </c>
      <c r="H115" s="24" t="s">
        <v>69</v>
      </c>
    </row>
    <row r="116" spans="1:9" ht="20.399999999999999">
      <c r="A116" s="95"/>
      <c r="B116" s="52"/>
      <c r="C116" s="137"/>
      <c r="D116" s="31" t="s">
        <v>245</v>
      </c>
      <c r="E116" s="56">
        <v>1</v>
      </c>
      <c r="F116" s="24" t="s">
        <v>165</v>
      </c>
      <c r="G116" s="57" t="s">
        <v>70</v>
      </c>
      <c r="H116" s="24" t="s">
        <v>246</v>
      </c>
    </row>
    <row r="117" spans="1:9">
      <c r="A117" s="96"/>
      <c r="B117" s="53"/>
      <c r="C117" s="138"/>
      <c r="D117" s="26" t="s">
        <v>247</v>
      </c>
      <c r="E117" s="56">
        <v>2</v>
      </c>
      <c r="F117" s="24" t="s">
        <v>69</v>
      </c>
      <c r="G117" s="24" t="s">
        <v>174</v>
      </c>
      <c r="H117" s="24" t="s">
        <v>165</v>
      </c>
    </row>
    <row r="118" spans="1:9">
      <c r="A118" s="94">
        <v>2</v>
      </c>
      <c r="B118" s="51"/>
      <c r="C118" s="149" t="s">
        <v>248</v>
      </c>
      <c r="D118" s="26" t="s">
        <v>249</v>
      </c>
      <c r="E118" s="56">
        <v>2</v>
      </c>
      <c r="F118" s="24" t="s">
        <v>71</v>
      </c>
      <c r="G118" s="24" t="s">
        <v>54</v>
      </c>
      <c r="H118" s="24" t="s">
        <v>49</v>
      </c>
    </row>
    <row r="119" spans="1:9">
      <c r="A119" s="95"/>
      <c r="B119" s="52"/>
      <c r="C119" s="150"/>
      <c r="D119" s="26" t="s">
        <v>250</v>
      </c>
      <c r="E119" s="56">
        <v>1</v>
      </c>
      <c r="F119" s="24" t="s">
        <v>72</v>
      </c>
      <c r="G119" s="24" t="s">
        <v>73</v>
      </c>
      <c r="H119" s="24" t="s">
        <v>54</v>
      </c>
    </row>
    <row r="120" spans="1:9">
      <c r="A120" s="95"/>
      <c r="B120" s="52"/>
      <c r="C120" s="150"/>
      <c r="D120" s="26" t="s">
        <v>251</v>
      </c>
      <c r="E120" s="56">
        <v>1</v>
      </c>
      <c r="F120" s="24" t="s">
        <v>74</v>
      </c>
      <c r="G120" s="24" t="s">
        <v>71</v>
      </c>
      <c r="H120" s="24" t="s">
        <v>75</v>
      </c>
    </row>
    <row r="121" spans="1:9">
      <c r="A121" s="95"/>
      <c r="B121" s="52"/>
      <c r="C121" s="150"/>
      <c r="D121" s="26" t="s">
        <v>252</v>
      </c>
      <c r="E121" s="56">
        <v>1</v>
      </c>
      <c r="F121" s="24" t="s">
        <v>51</v>
      </c>
      <c r="G121" s="24" t="s">
        <v>73</v>
      </c>
      <c r="H121" s="24" t="s">
        <v>76</v>
      </c>
    </row>
    <row r="122" spans="1:9">
      <c r="A122" s="95"/>
      <c r="B122" s="52"/>
      <c r="C122" s="150"/>
      <c r="D122" s="26" t="s">
        <v>253</v>
      </c>
      <c r="E122" s="56">
        <v>1</v>
      </c>
      <c r="F122" s="24" t="s">
        <v>76</v>
      </c>
      <c r="G122" s="24" t="s">
        <v>72</v>
      </c>
      <c r="H122" s="24" t="s">
        <v>77</v>
      </c>
    </row>
    <row r="123" spans="1:9">
      <c r="A123" s="95"/>
      <c r="B123" s="52"/>
      <c r="C123" s="150"/>
      <c r="D123" s="26" t="s">
        <v>254</v>
      </c>
      <c r="E123" s="56">
        <v>1</v>
      </c>
      <c r="F123" s="24" t="s">
        <v>54</v>
      </c>
      <c r="G123" s="24" t="s">
        <v>77</v>
      </c>
      <c r="H123" s="24" t="s">
        <v>72</v>
      </c>
    </row>
    <row r="124" spans="1:9">
      <c r="A124" s="95"/>
      <c r="B124" s="52"/>
      <c r="C124" s="150"/>
      <c r="D124" s="26" t="s">
        <v>255</v>
      </c>
      <c r="E124" s="56">
        <v>2</v>
      </c>
      <c r="F124" s="24" t="s">
        <v>70</v>
      </c>
      <c r="G124" s="24" t="s">
        <v>67</v>
      </c>
      <c r="H124" s="24" t="s">
        <v>78</v>
      </c>
    </row>
    <row r="125" spans="1:9" ht="20.399999999999999">
      <c r="A125" s="96"/>
      <c r="B125" s="53"/>
      <c r="C125" s="151"/>
      <c r="D125" s="26" t="s">
        <v>256</v>
      </c>
      <c r="E125" s="58">
        <v>1</v>
      </c>
      <c r="F125" s="24" t="s">
        <v>71</v>
      </c>
      <c r="G125" s="24" t="s">
        <v>79</v>
      </c>
      <c r="H125" s="24" t="s">
        <v>67</v>
      </c>
    </row>
    <row r="126" spans="1:9">
      <c r="A126" s="142"/>
      <c r="B126" s="54"/>
      <c r="C126" s="142"/>
      <c r="D126" s="26" t="s">
        <v>257</v>
      </c>
      <c r="E126" s="56">
        <v>1</v>
      </c>
      <c r="F126" s="35" t="s">
        <v>174</v>
      </c>
      <c r="G126" s="38" t="s">
        <v>54</v>
      </c>
      <c r="H126" s="38" t="s">
        <v>71</v>
      </c>
    </row>
    <row r="127" spans="1:9" ht="20.399999999999999">
      <c r="A127" s="143"/>
      <c r="B127" s="55"/>
      <c r="C127" s="143"/>
      <c r="D127" s="31" t="s">
        <v>258</v>
      </c>
      <c r="E127" s="56">
        <v>1</v>
      </c>
      <c r="F127" s="35" t="s">
        <v>174</v>
      </c>
      <c r="G127" s="24" t="s">
        <v>69</v>
      </c>
      <c r="H127" s="38" t="s">
        <v>54</v>
      </c>
    </row>
    <row r="128" spans="1:9" ht="20.399999999999999">
      <c r="A128" s="128">
        <v>3</v>
      </c>
      <c r="B128" s="39"/>
      <c r="C128" s="152" t="s">
        <v>259</v>
      </c>
      <c r="D128" s="41" t="s">
        <v>80</v>
      </c>
      <c r="E128" s="56">
        <v>1</v>
      </c>
      <c r="F128" s="24" t="s">
        <v>169</v>
      </c>
      <c r="G128" s="24" t="s">
        <v>54</v>
      </c>
      <c r="H128" s="24" t="s">
        <v>260</v>
      </c>
    </row>
    <row r="129" spans="1:8" ht="20.399999999999999">
      <c r="A129" s="128"/>
      <c r="B129" s="39"/>
      <c r="C129" s="152"/>
      <c r="D129" s="41" t="s">
        <v>81</v>
      </c>
      <c r="E129" s="56">
        <v>1</v>
      </c>
      <c r="F129" s="38" t="s">
        <v>73</v>
      </c>
      <c r="G129" s="24" t="s">
        <v>261</v>
      </c>
      <c r="H129" s="38" t="s">
        <v>77</v>
      </c>
    </row>
    <row r="130" spans="1:8" ht="20.399999999999999">
      <c r="A130" s="128"/>
      <c r="B130" s="39"/>
      <c r="C130" s="152"/>
      <c r="D130" s="41" t="s">
        <v>82</v>
      </c>
      <c r="E130" s="56">
        <v>1</v>
      </c>
      <c r="F130" s="38" t="s">
        <v>76</v>
      </c>
      <c r="G130" s="38" t="s">
        <v>71</v>
      </c>
      <c r="H130" s="24" t="s">
        <v>260</v>
      </c>
    </row>
    <row r="131" spans="1:8" ht="20.399999999999999">
      <c r="A131" s="128"/>
      <c r="B131" s="39"/>
      <c r="C131" s="152"/>
      <c r="D131" s="41" t="s">
        <v>83</v>
      </c>
      <c r="E131" s="56">
        <v>1</v>
      </c>
      <c r="F131" s="38" t="s">
        <v>54</v>
      </c>
      <c r="G131" s="38" t="s">
        <v>77</v>
      </c>
      <c r="H131" s="24" t="s">
        <v>262</v>
      </c>
    </row>
    <row r="132" spans="1:8" ht="13.5" customHeight="1">
      <c r="A132" s="129"/>
      <c r="B132" s="42"/>
      <c r="C132" s="153"/>
      <c r="D132" s="26" t="s">
        <v>263</v>
      </c>
      <c r="E132" s="56">
        <v>2</v>
      </c>
      <c r="F132" s="24" t="s">
        <v>163</v>
      </c>
      <c r="G132" s="24" t="s">
        <v>260</v>
      </c>
      <c r="H132" s="24" t="s">
        <v>169</v>
      </c>
    </row>
    <row r="133" spans="1:8">
      <c r="A133" s="94">
        <v>4</v>
      </c>
      <c r="B133" s="51"/>
      <c r="C133" s="154" t="s">
        <v>264</v>
      </c>
      <c r="D133" s="26" t="s">
        <v>265</v>
      </c>
      <c r="E133" s="58">
        <v>2</v>
      </c>
      <c r="F133" s="38" t="s">
        <v>54</v>
      </c>
      <c r="G133" s="28" t="s">
        <v>165</v>
      </c>
      <c r="H133" s="28" t="s">
        <v>262</v>
      </c>
    </row>
    <row r="134" spans="1:8">
      <c r="A134" s="95"/>
      <c r="B134" s="52"/>
      <c r="C134" s="155"/>
      <c r="D134" s="26" t="s">
        <v>266</v>
      </c>
      <c r="E134" s="56">
        <v>1</v>
      </c>
      <c r="F134" s="24" t="s">
        <v>169</v>
      </c>
      <c r="G134" s="38" t="s">
        <v>70</v>
      </c>
      <c r="H134" s="28" t="s">
        <v>262</v>
      </c>
    </row>
    <row r="135" spans="1:8">
      <c r="A135" s="95"/>
      <c r="B135" s="52"/>
      <c r="C135" s="155"/>
      <c r="D135" s="26" t="s">
        <v>267</v>
      </c>
      <c r="E135" s="56">
        <v>1</v>
      </c>
      <c r="F135" s="24" t="s">
        <v>260</v>
      </c>
      <c r="G135" s="38" t="s">
        <v>77</v>
      </c>
      <c r="H135" s="24" t="s">
        <v>261</v>
      </c>
    </row>
    <row r="136" spans="1:8">
      <c r="A136" s="95"/>
      <c r="B136" s="52"/>
      <c r="C136" s="155"/>
      <c r="D136" s="26" t="s">
        <v>268</v>
      </c>
      <c r="E136" s="56">
        <v>1</v>
      </c>
      <c r="F136" s="24" t="s">
        <v>261</v>
      </c>
      <c r="G136" s="38" t="s">
        <v>71</v>
      </c>
      <c r="H136" s="38" t="s">
        <v>54</v>
      </c>
    </row>
    <row r="137" spans="1:8">
      <c r="A137" s="95"/>
      <c r="B137" s="52"/>
      <c r="C137" s="155"/>
      <c r="D137" s="26" t="s">
        <v>269</v>
      </c>
      <c r="E137" s="56">
        <v>1</v>
      </c>
      <c r="F137" s="24" t="s">
        <v>246</v>
      </c>
      <c r="G137" s="38" t="s">
        <v>71</v>
      </c>
      <c r="H137" s="24" t="s">
        <v>270</v>
      </c>
    </row>
    <row r="138" spans="1:8">
      <c r="A138" s="95"/>
      <c r="B138" s="52"/>
      <c r="C138" s="155"/>
      <c r="D138" s="26" t="s">
        <v>271</v>
      </c>
      <c r="E138" s="56">
        <v>1</v>
      </c>
      <c r="F138" s="38" t="s">
        <v>71</v>
      </c>
      <c r="G138" s="24" t="s">
        <v>169</v>
      </c>
      <c r="H138" s="38" t="s">
        <v>79</v>
      </c>
    </row>
    <row r="139" spans="1:8">
      <c r="A139" s="95"/>
      <c r="B139" s="52"/>
      <c r="C139" s="155"/>
      <c r="D139" s="26" t="s">
        <v>272</v>
      </c>
      <c r="E139" s="56">
        <v>1</v>
      </c>
      <c r="F139" s="38" t="s">
        <v>54</v>
      </c>
      <c r="G139" s="24" t="s">
        <v>273</v>
      </c>
      <c r="H139" s="38" t="s">
        <v>71</v>
      </c>
    </row>
    <row r="140" spans="1:8" ht="20.399999999999999">
      <c r="A140" s="96"/>
      <c r="B140" s="53"/>
      <c r="C140" s="105"/>
      <c r="D140" s="31" t="s">
        <v>274</v>
      </c>
      <c r="E140" s="56">
        <v>1</v>
      </c>
      <c r="F140" s="24" t="s">
        <v>162</v>
      </c>
      <c r="G140" s="38" t="s">
        <v>54</v>
      </c>
      <c r="H140" s="24" t="s">
        <v>174</v>
      </c>
    </row>
    <row r="141" spans="1:8" ht="20.399999999999999">
      <c r="A141" s="142"/>
      <c r="B141" s="54"/>
      <c r="C141" s="142"/>
      <c r="D141" s="46" t="s">
        <v>275</v>
      </c>
      <c r="E141" s="58">
        <v>3</v>
      </c>
      <c r="F141" s="28" t="s">
        <v>276</v>
      </c>
      <c r="G141" s="28" t="s">
        <v>276</v>
      </c>
      <c r="H141" s="28" t="s">
        <v>276</v>
      </c>
    </row>
    <row r="142" spans="1:8">
      <c r="A142" s="143"/>
      <c r="B142" s="55"/>
      <c r="C142" s="143"/>
      <c r="D142" s="26" t="s">
        <v>277</v>
      </c>
      <c r="E142" s="56">
        <v>3</v>
      </c>
      <c r="F142" s="24" t="s">
        <v>276</v>
      </c>
      <c r="G142" s="24" t="s">
        <v>276</v>
      </c>
      <c r="H142" s="24" t="s">
        <v>276</v>
      </c>
    </row>
    <row r="143" spans="1:8">
      <c r="A143" s="128">
        <v>5</v>
      </c>
      <c r="B143" s="39"/>
      <c r="C143" s="131" t="s">
        <v>216</v>
      </c>
      <c r="D143" s="46" t="s">
        <v>278</v>
      </c>
      <c r="E143" s="58">
        <v>3</v>
      </c>
      <c r="F143" s="28" t="s">
        <v>276</v>
      </c>
      <c r="G143" s="28" t="s">
        <v>276</v>
      </c>
      <c r="H143" s="28" t="s">
        <v>276</v>
      </c>
    </row>
    <row r="144" spans="1:8" ht="20.399999999999999">
      <c r="A144" s="128"/>
      <c r="B144" s="39"/>
      <c r="C144" s="131"/>
      <c r="D144" s="31" t="s">
        <v>279</v>
      </c>
      <c r="E144" s="56">
        <v>3</v>
      </c>
      <c r="F144" s="24" t="s">
        <v>276</v>
      </c>
      <c r="G144" s="24" t="s">
        <v>276</v>
      </c>
      <c r="H144" s="24" t="s">
        <v>276</v>
      </c>
    </row>
    <row r="145" spans="1:9">
      <c r="A145" s="129"/>
      <c r="B145" s="42"/>
      <c r="C145" s="132"/>
      <c r="D145" s="26" t="s">
        <v>280</v>
      </c>
      <c r="E145" s="56">
        <v>3</v>
      </c>
      <c r="F145" s="24" t="s">
        <v>276</v>
      </c>
      <c r="G145" s="24" t="s">
        <v>276</v>
      </c>
      <c r="H145" s="24" t="s">
        <v>276</v>
      </c>
    </row>
    <row r="146" spans="1:9" ht="20.399999999999999">
      <c r="A146" s="94">
        <v>6</v>
      </c>
      <c r="B146" s="51"/>
      <c r="C146" s="136" t="s">
        <v>216</v>
      </c>
      <c r="D146" s="31" t="s">
        <v>281</v>
      </c>
      <c r="E146" s="56">
        <v>3</v>
      </c>
      <c r="F146" s="24" t="s">
        <v>276</v>
      </c>
      <c r="G146" s="24" t="s">
        <v>276</v>
      </c>
      <c r="H146" s="24" t="s">
        <v>276</v>
      </c>
    </row>
    <row r="147" spans="1:9" ht="20.399999999999999">
      <c r="A147" s="96"/>
      <c r="B147" s="53"/>
      <c r="C147" s="138"/>
      <c r="D147" s="31" t="s">
        <v>282</v>
      </c>
      <c r="E147" s="56">
        <v>3</v>
      </c>
      <c r="F147" s="24" t="s">
        <v>276</v>
      </c>
      <c r="G147" s="24" t="s">
        <v>276</v>
      </c>
      <c r="H147" s="24" t="s">
        <v>276</v>
      </c>
    </row>
    <row r="148" spans="1:9" ht="30.6">
      <c r="A148" s="94">
        <v>7</v>
      </c>
      <c r="B148" s="51"/>
      <c r="C148" s="136" t="s">
        <v>283</v>
      </c>
      <c r="D148" s="31" t="s">
        <v>284</v>
      </c>
      <c r="E148" s="58">
        <v>2</v>
      </c>
      <c r="F148" s="28" t="s">
        <v>285</v>
      </c>
      <c r="G148" s="28" t="s">
        <v>285</v>
      </c>
      <c r="H148" s="28" t="s">
        <v>285</v>
      </c>
    </row>
    <row r="149" spans="1:9" ht="20.399999999999999">
      <c r="A149" s="95"/>
      <c r="B149" s="52"/>
      <c r="C149" s="137"/>
      <c r="D149" s="31" t="s">
        <v>286</v>
      </c>
      <c r="E149" s="56">
        <v>2</v>
      </c>
      <c r="F149" s="24" t="s">
        <v>285</v>
      </c>
      <c r="G149" s="24" t="s">
        <v>285</v>
      </c>
      <c r="H149" s="24" t="s">
        <v>285</v>
      </c>
    </row>
    <row r="150" spans="1:9" ht="20.399999999999999">
      <c r="A150" s="95"/>
      <c r="B150" s="52"/>
      <c r="C150" s="137"/>
      <c r="D150" s="31" t="s">
        <v>287</v>
      </c>
      <c r="E150" s="56">
        <v>2</v>
      </c>
      <c r="F150" s="24" t="s">
        <v>285</v>
      </c>
      <c r="G150" s="24" t="s">
        <v>285</v>
      </c>
      <c r="H150" s="24" t="s">
        <v>285</v>
      </c>
    </row>
    <row r="151" spans="1:9">
      <c r="A151" s="95"/>
      <c r="B151" s="52"/>
      <c r="C151" s="137"/>
      <c r="D151" s="26" t="s">
        <v>288</v>
      </c>
      <c r="E151" s="56">
        <v>2</v>
      </c>
      <c r="F151" s="24" t="s">
        <v>285</v>
      </c>
      <c r="G151" s="24" t="s">
        <v>285</v>
      </c>
      <c r="H151" s="24" t="s">
        <v>285</v>
      </c>
    </row>
    <row r="152" spans="1:9">
      <c r="A152" s="96"/>
      <c r="B152" s="53"/>
      <c r="C152" s="138"/>
      <c r="D152" s="26" t="s">
        <v>289</v>
      </c>
      <c r="E152" s="56">
        <v>2</v>
      </c>
      <c r="F152" s="24" t="s">
        <v>285</v>
      </c>
      <c r="G152" s="24" t="s">
        <v>285</v>
      </c>
      <c r="H152" s="24" t="s">
        <v>285</v>
      </c>
    </row>
    <row r="153" spans="1:9">
      <c r="A153" s="127">
        <v>8</v>
      </c>
      <c r="B153" s="36"/>
      <c r="C153" s="136" t="s">
        <v>290</v>
      </c>
      <c r="D153" s="26" t="s">
        <v>291</v>
      </c>
      <c r="E153" s="56">
        <v>2</v>
      </c>
      <c r="F153" s="24" t="s">
        <v>285</v>
      </c>
      <c r="G153" s="24" t="s">
        <v>285</v>
      </c>
      <c r="H153" s="24" t="s">
        <v>285</v>
      </c>
    </row>
    <row r="154" spans="1:9">
      <c r="A154" s="128"/>
      <c r="B154" s="39"/>
      <c r="C154" s="137"/>
      <c r="D154" s="26" t="s">
        <v>292</v>
      </c>
      <c r="E154" s="56">
        <v>1</v>
      </c>
      <c r="F154" s="24" t="s">
        <v>285</v>
      </c>
      <c r="G154" s="24" t="s">
        <v>285</v>
      </c>
      <c r="H154" s="24" t="s">
        <v>285</v>
      </c>
    </row>
    <row r="155" spans="1:9">
      <c r="A155" s="128"/>
      <c r="B155" s="39"/>
      <c r="C155" s="137"/>
      <c r="D155" s="26" t="s">
        <v>293</v>
      </c>
      <c r="E155" s="56">
        <v>1</v>
      </c>
      <c r="F155" s="24" t="s">
        <v>285</v>
      </c>
      <c r="G155" s="24" t="s">
        <v>285</v>
      </c>
      <c r="H155" s="24" t="s">
        <v>285</v>
      </c>
    </row>
    <row r="156" spans="1:9">
      <c r="A156" s="129"/>
      <c r="B156" s="42"/>
      <c r="C156" s="138"/>
      <c r="D156" s="26" t="s">
        <v>294</v>
      </c>
      <c r="E156" s="56">
        <v>2</v>
      </c>
      <c r="F156" s="24" t="s">
        <v>285</v>
      </c>
      <c r="G156" s="24" t="s">
        <v>285</v>
      </c>
      <c r="H156" s="24" t="s">
        <v>285</v>
      </c>
    </row>
    <row r="157" spans="1:9" ht="14.25" customHeight="1">
      <c r="A157" s="91" t="s">
        <v>126</v>
      </c>
      <c r="B157" s="92"/>
      <c r="C157" s="92"/>
      <c r="D157" s="93"/>
      <c r="E157" s="60">
        <v>68</v>
      </c>
      <c r="F157" s="125"/>
      <c r="G157" s="115"/>
      <c r="H157" s="115"/>
    </row>
    <row r="159" spans="1:9" ht="15.75" customHeight="1">
      <c r="A159" s="126" t="s">
        <v>295</v>
      </c>
      <c r="B159" s="126"/>
      <c r="C159" s="126"/>
      <c r="D159" s="126"/>
      <c r="E159" s="126"/>
      <c r="F159" s="126"/>
      <c r="G159" s="126"/>
      <c r="H159" s="126"/>
      <c r="I159" s="126"/>
    </row>
    <row r="160" spans="1:9" ht="20.399999999999999">
      <c r="A160" s="34" t="s">
        <v>102</v>
      </c>
      <c r="B160" s="34"/>
      <c r="C160" s="21" t="s">
        <v>103</v>
      </c>
      <c r="D160" s="21" t="s">
        <v>104</v>
      </c>
      <c r="E160" s="31" t="s">
        <v>127</v>
      </c>
      <c r="F160" s="111"/>
      <c r="G160" s="112"/>
      <c r="H160" s="112"/>
    </row>
    <row r="161" spans="1:8">
      <c r="A161" s="127">
        <v>1</v>
      </c>
      <c r="B161" s="36"/>
      <c r="C161" s="130" t="s">
        <v>243</v>
      </c>
      <c r="D161" s="26" t="s">
        <v>296</v>
      </c>
      <c r="E161" s="56">
        <v>1</v>
      </c>
      <c r="F161" s="38" t="s">
        <v>49</v>
      </c>
      <c r="G161" s="38" t="s">
        <v>70</v>
      </c>
      <c r="H161" s="24" t="s">
        <v>54</v>
      </c>
    </row>
    <row r="162" spans="1:8" ht="20.399999999999999">
      <c r="A162" s="128"/>
      <c r="B162" s="39"/>
      <c r="C162" s="131"/>
      <c r="D162" s="31" t="s">
        <v>297</v>
      </c>
      <c r="E162" s="56">
        <v>1</v>
      </c>
      <c r="F162" s="24" t="s">
        <v>246</v>
      </c>
      <c r="G162" s="38" t="s">
        <v>72</v>
      </c>
      <c r="H162" s="38" t="s">
        <v>49</v>
      </c>
    </row>
    <row r="163" spans="1:8">
      <c r="A163" s="129"/>
      <c r="B163" s="42"/>
      <c r="C163" s="132"/>
      <c r="D163" s="26" t="s">
        <v>298</v>
      </c>
      <c r="E163" s="56">
        <v>2</v>
      </c>
      <c r="F163" s="24" t="s">
        <v>246</v>
      </c>
      <c r="G163" s="38" t="s">
        <v>76</v>
      </c>
      <c r="H163" s="38" t="s">
        <v>49</v>
      </c>
    </row>
    <row r="164" spans="1:8">
      <c r="A164" s="94">
        <v>2</v>
      </c>
      <c r="B164" s="51"/>
      <c r="C164" s="133" t="s">
        <v>299</v>
      </c>
      <c r="D164" s="26" t="s">
        <v>300</v>
      </c>
      <c r="E164" s="56">
        <v>2</v>
      </c>
      <c r="F164" s="38" t="s">
        <v>71</v>
      </c>
      <c r="G164" s="38" t="s">
        <v>72</v>
      </c>
      <c r="H164" s="24" t="s">
        <v>54</v>
      </c>
    </row>
    <row r="165" spans="1:8">
      <c r="A165" s="95"/>
      <c r="B165" s="52"/>
      <c r="C165" s="134"/>
      <c r="D165" s="26" t="s">
        <v>301</v>
      </c>
      <c r="E165" s="56">
        <v>1</v>
      </c>
      <c r="F165" s="24" t="s">
        <v>72</v>
      </c>
      <c r="G165" s="24" t="s">
        <v>74</v>
      </c>
      <c r="H165" s="24" t="s">
        <v>246</v>
      </c>
    </row>
    <row r="166" spans="1:8">
      <c r="A166" s="95"/>
      <c r="B166" s="52"/>
      <c r="C166" s="134"/>
      <c r="D166" s="26" t="s">
        <v>302</v>
      </c>
      <c r="E166" s="56">
        <v>1</v>
      </c>
      <c r="F166" s="24" t="s">
        <v>74</v>
      </c>
      <c r="G166" s="24" t="s">
        <v>71</v>
      </c>
      <c r="H166" s="24" t="s">
        <v>73</v>
      </c>
    </row>
    <row r="167" spans="1:8">
      <c r="A167" s="95"/>
      <c r="B167" s="52"/>
      <c r="C167" s="134"/>
      <c r="D167" s="26" t="s">
        <v>303</v>
      </c>
      <c r="E167" s="56">
        <v>1</v>
      </c>
      <c r="F167" s="24" t="s">
        <v>51</v>
      </c>
      <c r="G167" s="24" t="s">
        <v>73</v>
      </c>
      <c r="H167" s="24" t="s">
        <v>54</v>
      </c>
    </row>
    <row r="168" spans="1:8">
      <c r="A168" s="95"/>
      <c r="B168" s="52"/>
      <c r="C168" s="134"/>
      <c r="D168" s="26" t="s">
        <v>304</v>
      </c>
      <c r="E168" s="56">
        <v>1</v>
      </c>
      <c r="F168" s="24" t="s">
        <v>76</v>
      </c>
      <c r="G168" s="24" t="s">
        <v>67</v>
      </c>
      <c r="H168" s="24" t="s">
        <v>72</v>
      </c>
    </row>
    <row r="169" spans="1:8">
      <c r="A169" s="95"/>
      <c r="B169" s="52"/>
      <c r="C169" s="134"/>
      <c r="D169" s="26" t="s">
        <v>305</v>
      </c>
      <c r="E169" s="56">
        <v>1</v>
      </c>
      <c r="F169" s="24" t="s">
        <v>77</v>
      </c>
      <c r="G169" s="24" t="s">
        <v>54</v>
      </c>
      <c r="H169" s="24" t="s">
        <v>71</v>
      </c>
    </row>
    <row r="170" spans="1:8" ht="20.399999999999999">
      <c r="A170" s="95"/>
      <c r="B170" s="52"/>
      <c r="C170" s="134"/>
      <c r="D170" s="31" t="s">
        <v>306</v>
      </c>
      <c r="E170" s="56">
        <v>2</v>
      </c>
      <c r="F170" s="24" t="s">
        <v>70</v>
      </c>
      <c r="G170" s="24" t="s">
        <v>67</v>
      </c>
      <c r="H170" s="24" t="s">
        <v>78</v>
      </c>
    </row>
    <row r="171" spans="1:8">
      <c r="A171" s="96"/>
      <c r="B171" s="53"/>
      <c r="C171" s="135"/>
      <c r="D171" s="26" t="s">
        <v>307</v>
      </c>
      <c r="E171" s="56">
        <v>1</v>
      </c>
      <c r="F171" s="24" t="s">
        <v>71</v>
      </c>
      <c r="G171" s="24" t="s">
        <v>67</v>
      </c>
      <c r="H171" s="24" t="s">
        <v>79</v>
      </c>
    </row>
    <row r="172" spans="1:8">
      <c r="A172" s="94">
        <v>3</v>
      </c>
      <c r="B172" s="51"/>
      <c r="C172" s="136" t="s">
        <v>259</v>
      </c>
      <c r="D172" s="26" t="s">
        <v>308</v>
      </c>
      <c r="E172" s="56">
        <v>1</v>
      </c>
      <c r="F172" s="24" t="s">
        <v>174</v>
      </c>
      <c r="G172" s="24" t="s">
        <v>162</v>
      </c>
      <c r="H172" s="38" t="s">
        <v>71</v>
      </c>
    </row>
    <row r="173" spans="1:8" ht="20.399999999999999">
      <c r="A173" s="95"/>
      <c r="B173" s="52"/>
      <c r="C173" s="137"/>
      <c r="D173" s="31" t="s">
        <v>309</v>
      </c>
      <c r="E173" s="56">
        <v>1</v>
      </c>
      <c r="F173" s="24" t="s">
        <v>174</v>
      </c>
      <c r="G173" s="38" t="s">
        <v>54</v>
      </c>
      <c r="H173" s="24" t="s">
        <v>310</v>
      </c>
    </row>
    <row r="174" spans="1:8" ht="30.6">
      <c r="A174" s="95"/>
      <c r="B174" s="52"/>
      <c r="C174" s="137"/>
      <c r="D174" s="41" t="s">
        <v>84</v>
      </c>
      <c r="E174" s="56">
        <v>2</v>
      </c>
      <c r="F174" s="24" t="s">
        <v>260</v>
      </c>
      <c r="G174" s="24" t="s">
        <v>162</v>
      </c>
      <c r="H174" s="38" t="s">
        <v>54</v>
      </c>
    </row>
    <row r="175" spans="1:8">
      <c r="A175" s="95"/>
      <c r="B175" s="52"/>
      <c r="C175" s="137"/>
      <c r="D175" s="41" t="s">
        <v>85</v>
      </c>
      <c r="E175" s="56">
        <v>1</v>
      </c>
      <c r="F175" s="38" t="s">
        <v>74</v>
      </c>
      <c r="G175" s="38" t="s">
        <v>73</v>
      </c>
      <c r="H175" s="38" t="s">
        <v>72</v>
      </c>
    </row>
    <row r="176" spans="1:8">
      <c r="A176" s="95"/>
      <c r="B176" s="52"/>
      <c r="C176" s="137"/>
      <c r="D176" s="41" t="s">
        <v>86</v>
      </c>
      <c r="E176" s="56">
        <v>1</v>
      </c>
      <c r="F176" s="24" t="s">
        <v>311</v>
      </c>
      <c r="G176" s="38" t="s">
        <v>72</v>
      </c>
      <c r="H176" s="24" t="s">
        <v>77</v>
      </c>
    </row>
    <row r="177" spans="1:8">
      <c r="A177" s="95"/>
      <c r="B177" s="52"/>
      <c r="C177" s="137"/>
      <c r="D177" s="41" t="s">
        <v>87</v>
      </c>
      <c r="E177" s="56">
        <v>1</v>
      </c>
      <c r="F177" s="38" t="s">
        <v>72</v>
      </c>
      <c r="G177" s="24" t="s">
        <v>77</v>
      </c>
      <c r="H177" s="38" t="s">
        <v>51</v>
      </c>
    </row>
    <row r="178" spans="1:8" ht="20.399999999999999">
      <c r="A178" s="95"/>
      <c r="B178" s="52"/>
      <c r="C178" s="137"/>
      <c r="D178" s="41" t="s">
        <v>88</v>
      </c>
      <c r="E178" s="56">
        <v>1</v>
      </c>
      <c r="F178" s="38" t="s">
        <v>72</v>
      </c>
      <c r="G178" s="38" t="s">
        <v>54</v>
      </c>
      <c r="H178" s="38" t="s">
        <v>74</v>
      </c>
    </row>
    <row r="179" spans="1:8" ht="20.399999999999999">
      <c r="A179" s="95"/>
      <c r="B179" s="52"/>
      <c r="C179" s="137"/>
      <c r="D179" s="41" t="s">
        <v>89</v>
      </c>
      <c r="E179" s="56">
        <v>1</v>
      </c>
      <c r="F179" s="38" t="s">
        <v>72</v>
      </c>
      <c r="G179" s="38" t="s">
        <v>78</v>
      </c>
      <c r="H179" s="38" t="s">
        <v>70</v>
      </c>
    </row>
    <row r="180" spans="1:8">
      <c r="A180" s="96"/>
      <c r="B180" s="53"/>
      <c r="C180" s="138"/>
      <c r="D180" s="26" t="s">
        <v>312</v>
      </c>
      <c r="E180" s="56">
        <v>1</v>
      </c>
      <c r="F180" s="24" t="s">
        <v>163</v>
      </c>
      <c r="G180" s="38" t="s">
        <v>71</v>
      </c>
      <c r="H180" s="24" t="s">
        <v>260</v>
      </c>
    </row>
    <row r="181" spans="1:8">
      <c r="A181" s="94">
        <v>4</v>
      </c>
      <c r="B181" s="51"/>
      <c r="C181" s="149" t="s">
        <v>264</v>
      </c>
      <c r="D181" s="26" t="s">
        <v>313</v>
      </c>
      <c r="E181" s="56">
        <v>1</v>
      </c>
      <c r="F181" s="38" t="s">
        <v>76</v>
      </c>
      <c r="G181" s="24" t="s">
        <v>261</v>
      </c>
      <c r="H181" s="24" t="s">
        <v>260</v>
      </c>
    </row>
    <row r="182" spans="1:8">
      <c r="A182" s="95"/>
      <c r="B182" s="52"/>
      <c r="C182" s="150"/>
      <c r="D182" s="26" t="s">
        <v>314</v>
      </c>
      <c r="E182" s="56">
        <v>1</v>
      </c>
      <c r="F182" s="24" t="s">
        <v>169</v>
      </c>
      <c r="G182" s="38" t="s">
        <v>72</v>
      </c>
      <c r="H182" s="24" t="s">
        <v>311</v>
      </c>
    </row>
    <row r="183" spans="1:8">
      <c r="A183" s="95"/>
      <c r="B183" s="52"/>
      <c r="C183" s="150"/>
      <c r="D183" s="26" t="s">
        <v>315</v>
      </c>
      <c r="E183" s="56">
        <v>1</v>
      </c>
      <c r="F183" s="38" t="s">
        <v>72</v>
      </c>
      <c r="G183" s="38" t="s">
        <v>73</v>
      </c>
      <c r="H183" s="24" t="s">
        <v>261</v>
      </c>
    </row>
    <row r="184" spans="1:8" ht="20.399999999999999">
      <c r="A184" s="95"/>
      <c r="B184" s="52"/>
      <c r="C184" s="150"/>
      <c r="D184" s="31" t="s">
        <v>316</v>
      </c>
      <c r="E184" s="56">
        <v>1</v>
      </c>
      <c r="F184" s="24" t="s">
        <v>261</v>
      </c>
      <c r="G184" s="38" t="s">
        <v>71</v>
      </c>
      <c r="H184" s="38" t="s">
        <v>73</v>
      </c>
    </row>
    <row r="185" spans="1:8">
      <c r="A185" s="95"/>
      <c r="B185" s="52"/>
      <c r="C185" s="150"/>
      <c r="D185" s="26" t="s">
        <v>317</v>
      </c>
      <c r="E185" s="56">
        <v>1</v>
      </c>
      <c r="F185" s="24" t="s">
        <v>246</v>
      </c>
      <c r="G185" s="38" t="s">
        <v>76</v>
      </c>
      <c r="H185" s="24" t="s">
        <v>163</v>
      </c>
    </row>
    <row r="186" spans="1:8">
      <c r="A186" s="95"/>
      <c r="B186" s="52"/>
      <c r="C186" s="150"/>
      <c r="D186" s="26" t="s">
        <v>318</v>
      </c>
      <c r="E186" s="56">
        <v>1</v>
      </c>
      <c r="F186" s="24" t="s">
        <v>71</v>
      </c>
      <c r="G186" s="24" t="s">
        <v>260</v>
      </c>
      <c r="H186" s="24" t="s">
        <v>77</v>
      </c>
    </row>
    <row r="187" spans="1:8">
      <c r="A187" s="95"/>
      <c r="B187" s="52"/>
      <c r="C187" s="150"/>
      <c r="D187" s="26" t="s">
        <v>319</v>
      </c>
      <c r="E187" s="56">
        <v>1</v>
      </c>
      <c r="F187" s="24" t="s">
        <v>260</v>
      </c>
      <c r="G187" s="24" t="s">
        <v>71</v>
      </c>
      <c r="H187" s="38" t="s">
        <v>54</v>
      </c>
    </row>
    <row r="188" spans="1:8" ht="20.399999999999999">
      <c r="A188" s="95"/>
      <c r="B188" s="52"/>
      <c r="C188" s="150"/>
      <c r="D188" s="31" t="s">
        <v>320</v>
      </c>
      <c r="E188" s="56">
        <v>1</v>
      </c>
      <c r="F188" s="24" t="s">
        <v>162</v>
      </c>
      <c r="G188" s="24" t="s">
        <v>260</v>
      </c>
      <c r="H188" s="38" t="s">
        <v>71</v>
      </c>
    </row>
    <row r="189" spans="1:8" ht="20.399999999999999">
      <c r="A189" s="96"/>
      <c r="B189" s="53"/>
      <c r="C189" s="151"/>
      <c r="D189" s="31" t="s">
        <v>321</v>
      </c>
      <c r="E189" s="56">
        <v>1</v>
      </c>
      <c r="F189" s="38" t="s">
        <v>76</v>
      </c>
      <c r="G189" s="24" t="s">
        <v>174</v>
      </c>
      <c r="H189" s="24" t="s">
        <v>163</v>
      </c>
    </row>
    <row r="190" spans="1:8" ht="20.399999999999999">
      <c r="A190" s="94">
        <v>5</v>
      </c>
      <c r="B190" s="51"/>
      <c r="C190" s="136" t="s">
        <v>216</v>
      </c>
      <c r="D190" s="31" t="s">
        <v>322</v>
      </c>
      <c r="E190" s="58">
        <v>3</v>
      </c>
      <c r="F190" s="28" t="s">
        <v>276</v>
      </c>
      <c r="G190" s="28" t="s">
        <v>276</v>
      </c>
      <c r="H190" s="28" t="s">
        <v>276</v>
      </c>
    </row>
    <row r="191" spans="1:8">
      <c r="A191" s="96"/>
      <c r="B191" s="53"/>
      <c r="C191" s="138"/>
      <c r="D191" s="26" t="s">
        <v>323</v>
      </c>
      <c r="E191" s="56">
        <v>3</v>
      </c>
      <c r="F191" s="24" t="s">
        <v>276</v>
      </c>
      <c r="G191" s="24" t="s">
        <v>276</v>
      </c>
      <c r="H191" s="24" t="s">
        <v>276</v>
      </c>
    </row>
    <row r="192" spans="1:8">
      <c r="A192" s="61"/>
      <c r="B192" s="61"/>
      <c r="C192" s="61"/>
      <c r="D192" s="26" t="s">
        <v>324</v>
      </c>
      <c r="E192" s="58">
        <v>3</v>
      </c>
      <c r="F192" s="28" t="s">
        <v>276</v>
      </c>
      <c r="G192" s="28" t="s">
        <v>276</v>
      </c>
      <c r="H192" s="28" t="s">
        <v>276</v>
      </c>
    </row>
    <row r="193" spans="1:9" ht="20.399999999999999">
      <c r="A193" s="128">
        <v>6</v>
      </c>
      <c r="B193" s="39"/>
      <c r="C193" s="131" t="s">
        <v>216</v>
      </c>
      <c r="D193" s="31" t="s">
        <v>325</v>
      </c>
      <c r="E193" s="56">
        <v>3</v>
      </c>
      <c r="F193" s="24" t="s">
        <v>276</v>
      </c>
      <c r="G193" s="24" t="s">
        <v>276</v>
      </c>
      <c r="H193" s="24" t="s">
        <v>276</v>
      </c>
    </row>
    <row r="194" spans="1:9">
      <c r="A194" s="128"/>
      <c r="B194" s="39"/>
      <c r="C194" s="131"/>
      <c r="D194" s="26" t="s">
        <v>326</v>
      </c>
      <c r="E194" s="56">
        <v>3</v>
      </c>
      <c r="F194" s="24" t="s">
        <v>276</v>
      </c>
      <c r="G194" s="24" t="s">
        <v>276</v>
      </c>
      <c r="H194" s="24" t="s">
        <v>276</v>
      </c>
    </row>
    <row r="195" spans="1:9">
      <c r="A195" s="129"/>
      <c r="B195" s="42"/>
      <c r="C195" s="132"/>
      <c r="D195" s="26" t="s">
        <v>327</v>
      </c>
      <c r="E195" s="56">
        <v>3</v>
      </c>
      <c r="F195" s="24" t="s">
        <v>276</v>
      </c>
      <c r="G195" s="24" t="s">
        <v>276</v>
      </c>
      <c r="H195" s="24" t="s">
        <v>276</v>
      </c>
    </row>
    <row r="196" spans="1:9" ht="20.399999999999999">
      <c r="A196" s="94">
        <v>7</v>
      </c>
      <c r="B196" s="51"/>
      <c r="C196" s="136" t="s">
        <v>283</v>
      </c>
      <c r="D196" s="26" t="s">
        <v>328</v>
      </c>
      <c r="E196" s="58">
        <v>2</v>
      </c>
      <c r="F196" s="28" t="s">
        <v>285</v>
      </c>
      <c r="G196" s="28" t="s">
        <v>285</v>
      </c>
      <c r="H196" s="28" t="s">
        <v>285</v>
      </c>
    </row>
    <row r="197" spans="1:9" ht="20.399999999999999">
      <c r="A197" s="95"/>
      <c r="B197" s="52"/>
      <c r="C197" s="137"/>
      <c r="D197" s="31" t="s">
        <v>329</v>
      </c>
      <c r="E197" s="56">
        <v>2</v>
      </c>
      <c r="F197" s="24" t="s">
        <v>285</v>
      </c>
      <c r="G197" s="24" t="s">
        <v>285</v>
      </c>
      <c r="H197" s="24" t="s">
        <v>285</v>
      </c>
    </row>
    <row r="198" spans="1:9" ht="20.399999999999999">
      <c r="A198" s="95"/>
      <c r="B198" s="52"/>
      <c r="C198" s="137"/>
      <c r="D198" s="31" t="s">
        <v>330</v>
      </c>
      <c r="E198" s="56">
        <v>2</v>
      </c>
      <c r="F198" s="24" t="s">
        <v>285</v>
      </c>
      <c r="G198" s="24" t="s">
        <v>285</v>
      </c>
      <c r="H198" s="24" t="s">
        <v>285</v>
      </c>
    </row>
    <row r="199" spans="1:9">
      <c r="A199" s="95"/>
      <c r="B199" s="52"/>
      <c r="C199" s="137"/>
      <c r="D199" s="26" t="s">
        <v>331</v>
      </c>
      <c r="E199" s="56">
        <v>2</v>
      </c>
      <c r="F199" s="24" t="s">
        <v>285</v>
      </c>
      <c r="G199" s="24" t="s">
        <v>285</v>
      </c>
      <c r="H199" s="24" t="s">
        <v>285</v>
      </c>
    </row>
    <row r="200" spans="1:9" ht="20.399999999999999">
      <c r="A200" s="95"/>
      <c r="B200" s="52"/>
      <c r="C200" s="137"/>
      <c r="D200" s="31" t="s">
        <v>332</v>
      </c>
      <c r="E200" s="56">
        <v>2</v>
      </c>
      <c r="F200" s="24" t="s">
        <v>285</v>
      </c>
      <c r="G200" s="24" t="s">
        <v>285</v>
      </c>
      <c r="H200" s="24" t="s">
        <v>285</v>
      </c>
    </row>
    <row r="201" spans="1:9">
      <c r="A201" s="96"/>
      <c r="B201" s="53"/>
      <c r="C201" s="138"/>
      <c r="D201" s="26" t="s">
        <v>333</v>
      </c>
      <c r="E201" s="56">
        <v>2</v>
      </c>
      <c r="F201" s="24" t="s">
        <v>285</v>
      </c>
      <c r="G201" s="24" t="s">
        <v>285</v>
      </c>
      <c r="H201" s="24" t="s">
        <v>285</v>
      </c>
    </row>
    <row r="202" spans="1:9">
      <c r="A202" s="94">
        <v>8</v>
      </c>
      <c r="B202" s="51"/>
      <c r="C202" s="136" t="s">
        <v>290</v>
      </c>
      <c r="D202" s="26" t="s">
        <v>334</v>
      </c>
      <c r="E202" s="56">
        <v>2</v>
      </c>
      <c r="F202" s="24" t="s">
        <v>285</v>
      </c>
      <c r="G202" s="24" t="s">
        <v>285</v>
      </c>
      <c r="H202" s="24" t="s">
        <v>285</v>
      </c>
    </row>
    <row r="203" spans="1:9">
      <c r="A203" s="95"/>
      <c r="B203" s="52"/>
      <c r="C203" s="137"/>
      <c r="D203" s="26" t="s">
        <v>335</v>
      </c>
      <c r="E203" s="56">
        <v>2</v>
      </c>
      <c r="F203" s="24" t="s">
        <v>285</v>
      </c>
      <c r="G203" s="24" t="s">
        <v>285</v>
      </c>
      <c r="H203" s="24" t="s">
        <v>285</v>
      </c>
    </row>
    <row r="204" spans="1:9">
      <c r="A204" s="96"/>
      <c r="B204" s="53"/>
      <c r="C204" s="138"/>
      <c r="D204" s="26" t="s">
        <v>336</v>
      </c>
      <c r="E204" s="56">
        <v>2</v>
      </c>
      <c r="F204" s="24" t="s">
        <v>285</v>
      </c>
      <c r="G204" s="24" t="s">
        <v>285</v>
      </c>
      <c r="H204" s="24" t="s">
        <v>285</v>
      </c>
    </row>
    <row r="205" spans="1:9" ht="14.25" customHeight="1">
      <c r="A205" s="91" t="s">
        <v>126</v>
      </c>
      <c r="B205" s="92"/>
      <c r="C205" s="92"/>
      <c r="D205" s="93"/>
      <c r="E205" s="60">
        <v>69</v>
      </c>
      <c r="F205" s="125"/>
      <c r="G205" s="115"/>
      <c r="H205" s="115"/>
    </row>
    <row r="207" spans="1:9" ht="12.75" customHeight="1">
      <c r="A207" s="157" t="s">
        <v>337</v>
      </c>
      <c r="B207" s="157"/>
      <c r="C207" s="157"/>
      <c r="D207" s="157"/>
      <c r="E207" s="157"/>
      <c r="F207" s="157"/>
      <c r="G207" s="157"/>
      <c r="H207" s="157"/>
      <c r="I207" s="157"/>
    </row>
    <row r="208" spans="1:9" ht="20.399999999999999">
      <c r="A208" s="34" t="s">
        <v>102</v>
      </c>
      <c r="B208" s="34"/>
      <c r="C208" s="21" t="s">
        <v>103</v>
      </c>
      <c r="D208" s="21" t="s">
        <v>104</v>
      </c>
      <c r="E208" s="31" t="s">
        <v>127</v>
      </c>
      <c r="F208" s="111"/>
      <c r="G208" s="112"/>
      <c r="H208" s="112"/>
    </row>
    <row r="209" spans="1:9" ht="12.75" customHeight="1">
      <c r="A209" s="29">
        <v>1</v>
      </c>
      <c r="B209" s="36"/>
      <c r="C209" s="106" t="s">
        <v>338</v>
      </c>
      <c r="D209" s="26" t="s">
        <v>339</v>
      </c>
      <c r="E209" s="29">
        <v>6</v>
      </c>
      <c r="F209" s="62" t="s">
        <v>340</v>
      </c>
      <c r="G209" s="63" t="s">
        <v>77</v>
      </c>
      <c r="H209" s="63" t="s">
        <v>54</v>
      </c>
    </row>
    <row r="210" spans="1:9" ht="20.399999999999999">
      <c r="A210" s="25">
        <v>2</v>
      </c>
      <c r="B210" s="52"/>
      <c r="C210" s="158"/>
      <c r="D210" s="26" t="s">
        <v>341</v>
      </c>
      <c r="E210" s="25">
        <v>2</v>
      </c>
      <c r="F210" s="28" t="s">
        <v>285</v>
      </c>
      <c r="G210" s="28" t="s">
        <v>285</v>
      </c>
      <c r="H210" s="28" t="s">
        <v>285</v>
      </c>
    </row>
    <row r="211" spans="1:9" ht="20.399999999999999">
      <c r="A211" s="25">
        <v>3</v>
      </c>
      <c r="B211" s="52"/>
      <c r="C211" s="158"/>
      <c r="D211" s="26" t="s">
        <v>342</v>
      </c>
      <c r="E211" s="25">
        <v>2</v>
      </c>
      <c r="F211" s="28" t="s">
        <v>285</v>
      </c>
      <c r="G211" s="28" t="s">
        <v>285</v>
      </c>
      <c r="H211" s="28" t="s">
        <v>285</v>
      </c>
    </row>
    <row r="212" spans="1:9">
      <c r="A212" s="29">
        <v>4</v>
      </c>
      <c r="B212" s="39"/>
      <c r="C212" s="158"/>
      <c r="D212" s="26" t="s">
        <v>343</v>
      </c>
      <c r="E212" s="29">
        <v>2</v>
      </c>
      <c r="F212" s="28" t="s">
        <v>344</v>
      </c>
      <c r="G212" s="28" t="s">
        <v>345</v>
      </c>
      <c r="H212" s="28" t="s">
        <v>49</v>
      </c>
    </row>
    <row r="213" spans="1:9">
      <c r="A213" s="29">
        <v>5</v>
      </c>
      <c r="B213" s="42"/>
      <c r="C213" s="107"/>
      <c r="D213" s="26" t="s">
        <v>346</v>
      </c>
      <c r="E213" s="29">
        <v>2</v>
      </c>
      <c r="F213" s="28" t="s">
        <v>345</v>
      </c>
      <c r="G213" s="28" t="s">
        <v>344</v>
      </c>
      <c r="H213" s="28" t="s">
        <v>49</v>
      </c>
    </row>
    <row r="214" spans="1:9" ht="14.25" customHeight="1">
      <c r="A214" s="91" t="s">
        <v>126</v>
      </c>
      <c r="B214" s="92"/>
      <c r="C214" s="92"/>
      <c r="D214" s="93"/>
      <c r="E214" s="33">
        <v>14</v>
      </c>
      <c r="F214" s="125"/>
      <c r="G214" s="115"/>
      <c r="H214" s="115"/>
    </row>
    <row r="216" spans="1:9" ht="12.75" customHeight="1">
      <c r="A216" s="157" t="s">
        <v>347</v>
      </c>
      <c r="B216" s="157"/>
      <c r="C216" s="157"/>
      <c r="D216" s="157"/>
      <c r="E216" s="157"/>
      <c r="F216" s="157"/>
      <c r="G216" s="157"/>
      <c r="H216" s="157"/>
      <c r="I216" s="157"/>
    </row>
    <row r="217" spans="1:9" ht="20.399999999999999">
      <c r="A217" s="34" t="s">
        <v>102</v>
      </c>
      <c r="B217" s="34"/>
      <c r="C217" s="21" t="s">
        <v>103</v>
      </c>
      <c r="D217" s="21" t="s">
        <v>104</v>
      </c>
      <c r="E217" s="31" t="s">
        <v>127</v>
      </c>
      <c r="F217" s="111"/>
      <c r="G217" s="112"/>
      <c r="H217" s="112"/>
    </row>
    <row r="218" spans="1:9" ht="20.399999999999999">
      <c r="A218" s="29">
        <v>1</v>
      </c>
      <c r="B218" s="36"/>
      <c r="C218" s="102" t="s">
        <v>348</v>
      </c>
      <c r="D218" s="31" t="s">
        <v>349</v>
      </c>
      <c r="E218" s="29">
        <v>1</v>
      </c>
      <c r="F218" s="41" t="s">
        <v>48</v>
      </c>
      <c r="G218" s="26" t="s">
        <v>180</v>
      </c>
      <c r="H218" s="41" t="s">
        <v>67</v>
      </c>
    </row>
    <row r="219" spans="1:9" ht="20.399999999999999">
      <c r="A219" s="29">
        <v>2</v>
      </c>
      <c r="B219" s="39"/>
      <c r="C219" s="140"/>
      <c r="D219" s="31" t="s">
        <v>350</v>
      </c>
      <c r="E219" s="29">
        <v>1</v>
      </c>
      <c r="F219" s="41" t="s">
        <v>77</v>
      </c>
      <c r="G219" s="41" t="s">
        <v>56</v>
      </c>
      <c r="H219" s="26" t="s">
        <v>169</v>
      </c>
    </row>
    <row r="220" spans="1:9">
      <c r="A220" s="29">
        <v>3</v>
      </c>
      <c r="B220" s="39"/>
      <c r="C220" s="140"/>
      <c r="D220" s="26" t="s">
        <v>351</v>
      </c>
      <c r="E220" s="29">
        <v>2</v>
      </c>
      <c r="F220" s="26" t="s">
        <v>180</v>
      </c>
      <c r="G220" s="41" t="s">
        <v>56</v>
      </c>
      <c r="H220" s="26" t="s">
        <v>169</v>
      </c>
    </row>
    <row r="221" spans="1:9" ht="20.399999999999999">
      <c r="A221" s="29">
        <v>4</v>
      </c>
      <c r="B221" s="39"/>
      <c r="C221" s="140"/>
      <c r="D221" s="31" t="s">
        <v>352</v>
      </c>
      <c r="E221" s="29">
        <v>2</v>
      </c>
      <c r="F221" s="41" t="s">
        <v>56</v>
      </c>
      <c r="G221" s="26" t="s">
        <v>169</v>
      </c>
      <c r="H221" s="41" t="s">
        <v>79</v>
      </c>
    </row>
    <row r="222" spans="1:9" ht="20.399999999999999">
      <c r="A222" s="25">
        <v>5</v>
      </c>
      <c r="B222" s="52"/>
      <c r="C222" s="140"/>
      <c r="D222" s="26" t="s">
        <v>353</v>
      </c>
      <c r="E222" s="25">
        <v>6</v>
      </c>
      <c r="F222" s="59" t="s">
        <v>285</v>
      </c>
      <c r="G222" s="59" t="s">
        <v>285</v>
      </c>
      <c r="H222" s="59" t="s">
        <v>285</v>
      </c>
    </row>
    <row r="223" spans="1:9">
      <c r="A223" s="29">
        <v>6</v>
      </c>
      <c r="B223" s="42"/>
      <c r="C223" s="103"/>
      <c r="D223" s="26" t="s">
        <v>354</v>
      </c>
      <c r="E223" s="29">
        <v>2</v>
      </c>
      <c r="F223" s="26" t="s">
        <v>111</v>
      </c>
      <c r="G223" s="26" t="s">
        <v>111</v>
      </c>
      <c r="H223" s="26" t="s">
        <v>111</v>
      </c>
    </row>
    <row r="224" spans="1:9">
      <c r="A224" s="29">
        <v>7</v>
      </c>
      <c r="B224" s="29"/>
      <c r="C224" s="26" t="s">
        <v>355</v>
      </c>
      <c r="D224" s="26" t="s">
        <v>356</v>
      </c>
      <c r="E224" s="29">
        <v>1</v>
      </c>
      <c r="F224" s="26" t="s">
        <v>111</v>
      </c>
      <c r="G224" s="26" t="s">
        <v>111</v>
      </c>
      <c r="H224" s="26" t="s">
        <v>111</v>
      </c>
    </row>
    <row r="225" spans="1:9" ht="14.25" customHeight="1">
      <c r="A225" s="91" t="s">
        <v>126</v>
      </c>
      <c r="B225" s="92"/>
      <c r="C225" s="92"/>
      <c r="D225" s="93"/>
      <c r="E225" s="33">
        <v>15</v>
      </c>
      <c r="F225" s="125"/>
      <c r="G225" s="115"/>
      <c r="H225" s="115"/>
    </row>
    <row r="226" spans="1:9" ht="15.75" customHeight="1">
      <c r="A226" s="156" t="s">
        <v>357</v>
      </c>
      <c r="B226" s="156"/>
      <c r="C226" s="156"/>
      <c r="D226" s="156"/>
      <c r="E226" s="156"/>
      <c r="F226" s="156"/>
      <c r="G226" s="156"/>
      <c r="H226" s="156"/>
      <c r="I226" s="156"/>
    </row>
    <row r="227" spans="1:9" ht="20.399999999999999">
      <c r="A227" s="34" t="s">
        <v>102</v>
      </c>
      <c r="B227" s="34"/>
      <c r="C227" s="21" t="s">
        <v>103</v>
      </c>
      <c r="D227" s="21" t="s">
        <v>104</v>
      </c>
      <c r="E227" s="31" t="s">
        <v>127</v>
      </c>
      <c r="F227" s="111"/>
      <c r="G227" s="112"/>
      <c r="H227" s="112"/>
    </row>
    <row r="228" spans="1:9" ht="51">
      <c r="A228" s="25">
        <v>1</v>
      </c>
      <c r="B228" s="25"/>
      <c r="C228" s="46" t="s">
        <v>358</v>
      </c>
      <c r="D228" s="26" t="s">
        <v>359</v>
      </c>
      <c r="E228" s="25">
        <v>1</v>
      </c>
      <c r="F228" s="64" t="s">
        <v>360</v>
      </c>
      <c r="G228" s="64" t="s">
        <v>360</v>
      </c>
      <c r="H228" s="64" t="s">
        <v>360</v>
      </c>
    </row>
    <row r="229" spans="1:9" ht="30.6">
      <c r="A229" s="65">
        <v>2</v>
      </c>
      <c r="B229" s="65"/>
      <c r="C229" s="46" t="s">
        <v>361</v>
      </c>
      <c r="D229" s="46" t="s">
        <v>362</v>
      </c>
      <c r="E229" s="25">
        <v>1</v>
      </c>
      <c r="F229" s="64" t="s">
        <v>360</v>
      </c>
      <c r="G229" s="64" t="s">
        <v>360</v>
      </c>
      <c r="H229" s="64" t="s">
        <v>360</v>
      </c>
    </row>
    <row r="230" spans="1:9" ht="30.6">
      <c r="A230" s="65">
        <v>3</v>
      </c>
      <c r="B230" s="65"/>
      <c r="C230" s="31" t="s">
        <v>363</v>
      </c>
      <c r="D230" s="26" t="s">
        <v>364</v>
      </c>
      <c r="E230" s="25">
        <v>2</v>
      </c>
      <c r="F230" s="64" t="s">
        <v>360</v>
      </c>
      <c r="G230" s="64" t="s">
        <v>360</v>
      </c>
      <c r="H230" s="64" t="s">
        <v>360</v>
      </c>
    </row>
    <row r="231" spans="1:9" ht="91.8">
      <c r="A231" s="65">
        <v>4</v>
      </c>
      <c r="B231" s="65"/>
      <c r="C231" s="46" t="s">
        <v>365</v>
      </c>
      <c r="D231" s="31" t="s">
        <v>366</v>
      </c>
      <c r="E231" s="25">
        <v>1</v>
      </c>
      <c r="F231" s="64" t="s">
        <v>360</v>
      </c>
      <c r="G231" s="64" t="s">
        <v>360</v>
      </c>
      <c r="H231" s="64" t="s">
        <v>360</v>
      </c>
    </row>
    <row r="232" spans="1:9" ht="30.6">
      <c r="A232" s="65">
        <v>5</v>
      </c>
      <c r="B232" s="65"/>
      <c r="C232" s="46" t="s">
        <v>367</v>
      </c>
      <c r="D232" s="26" t="s">
        <v>368</v>
      </c>
      <c r="E232" s="25">
        <v>1</v>
      </c>
      <c r="F232" s="66" t="s">
        <v>54</v>
      </c>
      <c r="G232" s="66" t="s">
        <v>78</v>
      </c>
      <c r="H232" s="66" t="s">
        <v>74</v>
      </c>
    </row>
    <row r="233" spans="1:9" ht="40.799999999999997">
      <c r="A233" s="94">
        <v>6</v>
      </c>
      <c r="B233" s="51"/>
      <c r="C233" s="102" t="s">
        <v>369</v>
      </c>
      <c r="D233" s="26" t="s">
        <v>370</v>
      </c>
      <c r="E233" s="94">
        <v>2</v>
      </c>
      <c r="F233" s="117" t="s">
        <v>360</v>
      </c>
      <c r="G233" s="117" t="s">
        <v>360</v>
      </c>
      <c r="H233" s="117" t="s">
        <v>360</v>
      </c>
    </row>
    <row r="234" spans="1:9" ht="20.399999999999999">
      <c r="A234" s="95"/>
      <c r="B234" s="52"/>
      <c r="C234" s="140"/>
      <c r="D234" s="31" t="s">
        <v>371</v>
      </c>
      <c r="E234" s="95"/>
      <c r="F234" s="159"/>
      <c r="G234" s="159"/>
      <c r="H234" s="159"/>
    </row>
    <row r="235" spans="1:9" ht="20.399999999999999">
      <c r="A235" s="95"/>
      <c r="B235" s="52"/>
      <c r="C235" s="140"/>
      <c r="D235" s="31" t="s">
        <v>372</v>
      </c>
      <c r="E235" s="95"/>
      <c r="F235" s="159"/>
      <c r="G235" s="159"/>
      <c r="H235" s="159"/>
    </row>
    <row r="236" spans="1:9" ht="20.399999999999999">
      <c r="A236" s="96"/>
      <c r="B236" s="53"/>
      <c r="C236" s="103"/>
      <c r="D236" s="31" t="s">
        <v>373</v>
      </c>
      <c r="E236" s="96"/>
      <c r="F236" s="118"/>
      <c r="G236" s="118"/>
      <c r="H236" s="118"/>
    </row>
    <row r="237" spans="1:9" ht="40.799999999999997">
      <c r="A237" s="65">
        <v>7</v>
      </c>
      <c r="B237" s="65"/>
      <c r="C237" s="26" t="s">
        <v>374</v>
      </c>
      <c r="D237" s="31" t="s">
        <v>375</v>
      </c>
      <c r="E237" s="25">
        <v>1</v>
      </c>
      <c r="F237" s="67" t="s">
        <v>376</v>
      </c>
      <c r="G237" s="67" t="s">
        <v>78</v>
      </c>
      <c r="H237" s="67" t="s">
        <v>71</v>
      </c>
    </row>
    <row r="238" spans="1:9" ht="40.799999999999997">
      <c r="A238" s="94">
        <v>8</v>
      </c>
      <c r="B238" s="51"/>
      <c r="C238" s="102" t="s">
        <v>377</v>
      </c>
      <c r="D238" s="31" t="s">
        <v>378</v>
      </c>
      <c r="E238" s="94">
        <v>1</v>
      </c>
      <c r="F238" s="161" t="s">
        <v>78</v>
      </c>
      <c r="G238" s="161" t="s">
        <v>54</v>
      </c>
      <c r="H238" s="164" t="s">
        <v>379</v>
      </c>
    </row>
    <row r="239" spans="1:9" ht="40.799999999999997">
      <c r="A239" s="95"/>
      <c r="B239" s="52"/>
      <c r="C239" s="140"/>
      <c r="D239" s="31" t="s">
        <v>380</v>
      </c>
      <c r="E239" s="95"/>
      <c r="F239" s="162"/>
      <c r="G239" s="162"/>
      <c r="H239" s="165"/>
    </row>
    <row r="240" spans="1:9">
      <c r="A240" s="96"/>
      <c r="B240" s="53"/>
      <c r="C240" s="103"/>
      <c r="D240" s="26" t="s">
        <v>381</v>
      </c>
      <c r="E240" s="96"/>
      <c r="F240" s="163"/>
      <c r="G240" s="163"/>
      <c r="H240" s="166"/>
    </row>
    <row r="241" spans="1:9" ht="30.6">
      <c r="A241" s="94">
        <v>9</v>
      </c>
      <c r="B241" s="51"/>
      <c r="C241" s="102" t="s">
        <v>382</v>
      </c>
      <c r="D241" s="26" t="s">
        <v>383</v>
      </c>
      <c r="E241" s="94">
        <v>2</v>
      </c>
      <c r="F241" s="161" t="s">
        <v>384</v>
      </c>
      <c r="G241" s="161" t="s">
        <v>54</v>
      </c>
      <c r="H241" s="161" t="s">
        <v>77</v>
      </c>
    </row>
    <row r="242" spans="1:9" ht="20.399999999999999">
      <c r="A242" s="96"/>
      <c r="B242" s="53"/>
      <c r="C242" s="103"/>
      <c r="D242" s="31" t="s">
        <v>385</v>
      </c>
      <c r="E242" s="96"/>
      <c r="F242" s="163"/>
      <c r="G242" s="163"/>
      <c r="H242" s="163"/>
    </row>
    <row r="243" spans="1:9" ht="40.799999999999997">
      <c r="A243" s="119">
        <v>10</v>
      </c>
      <c r="B243" s="68"/>
      <c r="C243" s="142" t="s">
        <v>386</v>
      </c>
      <c r="D243" s="26" t="s">
        <v>387</v>
      </c>
      <c r="E243" s="94">
        <v>4</v>
      </c>
      <c r="F243" s="117" t="s">
        <v>360</v>
      </c>
      <c r="G243" s="117" t="s">
        <v>360</v>
      </c>
      <c r="H243" s="117" t="s">
        <v>360</v>
      </c>
    </row>
    <row r="244" spans="1:9" ht="20.399999999999999">
      <c r="A244" s="120"/>
      <c r="B244" s="69"/>
      <c r="C244" s="160"/>
      <c r="D244" s="31" t="s">
        <v>388</v>
      </c>
      <c r="E244" s="96"/>
      <c r="F244" s="118"/>
      <c r="G244" s="118"/>
      <c r="H244" s="118"/>
    </row>
    <row r="245" spans="1:9" ht="12.75" customHeight="1">
      <c r="A245" s="119">
        <v>11</v>
      </c>
      <c r="B245" s="68"/>
      <c r="C245" s="121" t="s">
        <v>90</v>
      </c>
      <c r="D245" s="41" t="s">
        <v>91</v>
      </c>
      <c r="E245" s="94">
        <v>2</v>
      </c>
      <c r="F245" s="123" t="s">
        <v>92</v>
      </c>
      <c r="G245" s="123" t="s">
        <v>92</v>
      </c>
      <c r="H245" s="123" t="s">
        <v>92</v>
      </c>
    </row>
    <row r="246" spans="1:9" ht="30.6">
      <c r="A246" s="120"/>
      <c r="B246" s="69"/>
      <c r="C246" s="122"/>
      <c r="D246" s="41" t="s">
        <v>93</v>
      </c>
      <c r="E246" s="96"/>
      <c r="F246" s="124"/>
      <c r="G246" s="124"/>
      <c r="H246" s="124"/>
    </row>
    <row r="247" spans="1:9" ht="30.6">
      <c r="A247" s="65">
        <v>13</v>
      </c>
      <c r="B247" s="65"/>
      <c r="C247" s="41" t="s">
        <v>94</v>
      </c>
      <c r="D247" s="26" t="s">
        <v>389</v>
      </c>
      <c r="E247" s="25">
        <v>2</v>
      </c>
      <c r="F247" s="70" t="s">
        <v>95</v>
      </c>
      <c r="G247" s="70" t="s">
        <v>95</v>
      </c>
      <c r="H247" s="70" t="s">
        <v>95</v>
      </c>
    </row>
    <row r="248" spans="1:9" ht="14.25" customHeight="1">
      <c r="A248" s="91" t="s">
        <v>126</v>
      </c>
      <c r="B248" s="92"/>
      <c r="C248" s="92"/>
      <c r="D248" s="93"/>
      <c r="E248" s="33">
        <v>20</v>
      </c>
      <c r="F248" s="125"/>
      <c r="G248" s="115"/>
      <c r="H248" s="115"/>
    </row>
    <row r="250" spans="1:9" ht="15.75" customHeight="1">
      <c r="A250" s="110" t="s">
        <v>390</v>
      </c>
      <c r="B250" s="110"/>
      <c r="C250" s="110"/>
      <c r="D250" s="110"/>
      <c r="E250" s="110"/>
      <c r="F250" s="110"/>
      <c r="G250" s="110"/>
      <c r="H250" s="110"/>
      <c r="I250" s="110"/>
    </row>
    <row r="251" spans="1:9" ht="20.399999999999999">
      <c r="A251" s="34" t="s">
        <v>102</v>
      </c>
      <c r="B251" s="34"/>
      <c r="C251" s="21" t="s">
        <v>103</v>
      </c>
      <c r="D251" s="21" t="s">
        <v>104</v>
      </c>
      <c r="E251" s="31" t="s">
        <v>127</v>
      </c>
      <c r="F251" s="111"/>
      <c r="G251" s="112"/>
      <c r="H251" s="112"/>
    </row>
    <row r="252" spans="1:9">
      <c r="A252" s="29">
        <v>1</v>
      </c>
      <c r="B252" s="71"/>
      <c r="C252" s="113" t="s">
        <v>391</v>
      </c>
      <c r="D252" s="114"/>
      <c r="E252" s="29">
        <v>36</v>
      </c>
      <c r="F252" s="26" t="s">
        <v>276</v>
      </c>
      <c r="G252" s="26" t="s">
        <v>276</v>
      </c>
      <c r="H252" s="26" t="s">
        <v>276</v>
      </c>
    </row>
    <row r="253" spans="1:9">
      <c r="A253" s="29">
        <v>2</v>
      </c>
      <c r="B253" s="71"/>
      <c r="C253" s="113" t="s">
        <v>392</v>
      </c>
      <c r="D253" s="114"/>
      <c r="E253" s="29">
        <v>36</v>
      </c>
      <c r="F253" s="26" t="s">
        <v>276</v>
      </c>
      <c r="G253" s="26" t="s">
        <v>276</v>
      </c>
      <c r="H253" s="26" t="s">
        <v>276</v>
      </c>
    </row>
    <row r="254" spans="1:9">
      <c r="A254" s="29">
        <v>3</v>
      </c>
      <c r="B254" s="71"/>
      <c r="C254" s="113" t="s">
        <v>393</v>
      </c>
      <c r="D254" s="114"/>
      <c r="E254" s="29">
        <v>36</v>
      </c>
      <c r="F254" s="26" t="s">
        <v>285</v>
      </c>
      <c r="G254" s="26" t="s">
        <v>285</v>
      </c>
      <c r="H254" s="26" t="s">
        <v>285</v>
      </c>
    </row>
    <row r="255" spans="1:9" ht="14.25" customHeight="1">
      <c r="A255" s="91" t="s">
        <v>126</v>
      </c>
      <c r="B255" s="92"/>
      <c r="C255" s="92"/>
      <c r="D255" s="93"/>
      <c r="E255" s="33">
        <v>108</v>
      </c>
      <c r="F255" s="115"/>
      <c r="G255" s="115"/>
      <c r="H255" s="115"/>
    </row>
    <row r="256" spans="1:9" ht="15.75" customHeight="1">
      <c r="A256" s="116" t="s">
        <v>394</v>
      </c>
      <c r="B256" s="116"/>
      <c r="C256" s="116"/>
      <c r="D256" s="116"/>
      <c r="E256" s="116"/>
      <c r="F256" s="116"/>
      <c r="G256" s="116"/>
      <c r="H256" s="116"/>
      <c r="I256" s="116"/>
    </row>
    <row r="257" spans="1:8" ht="20.399999999999999">
      <c r="A257" s="34" t="s">
        <v>102</v>
      </c>
      <c r="B257" s="34"/>
      <c r="C257" s="21" t="s">
        <v>103</v>
      </c>
      <c r="D257" s="21" t="s">
        <v>104</v>
      </c>
      <c r="E257" s="31" t="s">
        <v>127</v>
      </c>
      <c r="F257" s="111"/>
      <c r="G257" s="112"/>
      <c r="H257" s="112"/>
    </row>
    <row r="258" spans="1:8" ht="20.399999999999999">
      <c r="A258" s="29">
        <v>1</v>
      </c>
      <c r="B258" s="29"/>
      <c r="C258" s="31" t="s">
        <v>395</v>
      </c>
      <c r="D258" s="31" t="s">
        <v>396</v>
      </c>
      <c r="E258" s="29">
        <v>1</v>
      </c>
      <c r="F258" s="72" t="s">
        <v>397</v>
      </c>
      <c r="G258" s="72" t="s">
        <v>398</v>
      </c>
      <c r="H258" s="72" t="s">
        <v>260</v>
      </c>
    </row>
    <row r="259" spans="1:8" ht="20.399999999999999">
      <c r="A259" s="94">
        <v>2</v>
      </c>
      <c r="B259" s="51"/>
      <c r="C259" s="97" t="s">
        <v>96</v>
      </c>
      <c r="D259" s="31" t="s">
        <v>399</v>
      </c>
      <c r="E259" s="94">
        <v>1</v>
      </c>
      <c r="F259" s="100" t="s">
        <v>400</v>
      </c>
      <c r="G259" s="100" t="s">
        <v>400</v>
      </c>
      <c r="H259" s="100" t="s">
        <v>400</v>
      </c>
    </row>
    <row r="260" spans="1:8" ht="20.399999999999999">
      <c r="A260" s="95"/>
      <c r="B260" s="52"/>
      <c r="C260" s="98"/>
      <c r="D260" s="41" t="s">
        <v>97</v>
      </c>
      <c r="E260" s="95"/>
      <c r="F260" s="101"/>
      <c r="G260" s="101"/>
      <c r="H260" s="101"/>
    </row>
    <row r="261" spans="1:8" ht="30.6">
      <c r="A261" s="96"/>
      <c r="B261" s="53"/>
      <c r="C261" s="99"/>
      <c r="D261" s="26" t="s">
        <v>401</v>
      </c>
      <c r="E261" s="96"/>
      <c r="F261" s="73"/>
      <c r="G261" s="73"/>
      <c r="H261" s="73"/>
    </row>
    <row r="262" spans="1:8" ht="22.5" customHeight="1">
      <c r="A262" s="94">
        <v>3</v>
      </c>
      <c r="B262" s="51"/>
      <c r="C262" s="102" t="s">
        <v>402</v>
      </c>
      <c r="D262" s="31" t="s">
        <v>403</v>
      </c>
      <c r="E262" s="94">
        <v>2</v>
      </c>
      <c r="F262" s="104" t="s">
        <v>54</v>
      </c>
      <c r="G262" s="106" t="s">
        <v>73</v>
      </c>
      <c r="H262" s="108" t="s">
        <v>71</v>
      </c>
    </row>
    <row r="263" spans="1:8" ht="30.6">
      <c r="A263" s="96"/>
      <c r="B263" s="53"/>
      <c r="C263" s="103"/>
      <c r="D263" s="31" t="s">
        <v>404</v>
      </c>
      <c r="E263" s="96"/>
      <c r="F263" s="105"/>
      <c r="G263" s="107"/>
      <c r="H263" s="109"/>
    </row>
    <row r="264" spans="1:8" ht="30.6">
      <c r="A264" s="65">
        <v>4</v>
      </c>
      <c r="B264" s="65"/>
      <c r="C264" s="46" t="s">
        <v>382</v>
      </c>
      <c r="D264" s="26" t="s">
        <v>405</v>
      </c>
      <c r="E264" s="25">
        <v>1</v>
      </c>
      <c r="F264" s="28" t="s">
        <v>178</v>
      </c>
      <c r="G264" s="28" t="s">
        <v>174</v>
      </c>
      <c r="H264" s="72" t="s">
        <v>397</v>
      </c>
    </row>
    <row r="265" spans="1:8" ht="40.799999999999997">
      <c r="A265" s="65">
        <v>5</v>
      </c>
      <c r="B265" s="65"/>
      <c r="C265" s="26" t="s">
        <v>406</v>
      </c>
      <c r="D265" s="26" t="s">
        <v>407</v>
      </c>
      <c r="E265" s="25">
        <v>3</v>
      </c>
      <c r="F265" s="74" t="s">
        <v>400</v>
      </c>
      <c r="G265" s="74" t="s">
        <v>400</v>
      </c>
      <c r="H265" s="74" t="s">
        <v>400</v>
      </c>
    </row>
    <row r="266" spans="1:8" ht="30.6">
      <c r="A266" s="65">
        <v>6</v>
      </c>
      <c r="B266" s="65"/>
      <c r="C266" s="26" t="s">
        <v>408</v>
      </c>
      <c r="D266" s="46" t="s">
        <v>409</v>
      </c>
      <c r="E266" s="25">
        <v>4</v>
      </c>
      <c r="F266" s="70" t="s">
        <v>95</v>
      </c>
      <c r="G266" s="70" t="s">
        <v>95</v>
      </c>
      <c r="H266" s="70" t="s">
        <v>95</v>
      </c>
    </row>
    <row r="267" spans="1:8" ht="30.6">
      <c r="A267" s="65">
        <v>7</v>
      </c>
      <c r="B267" s="65"/>
      <c r="C267" s="41" t="s">
        <v>98</v>
      </c>
      <c r="D267" s="31" t="s">
        <v>410</v>
      </c>
      <c r="E267" s="25">
        <v>3</v>
      </c>
      <c r="F267" s="70" t="s">
        <v>95</v>
      </c>
      <c r="G267" s="70" t="s">
        <v>95</v>
      </c>
      <c r="H267" s="70" t="s">
        <v>95</v>
      </c>
    </row>
    <row r="268" spans="1:8">
      <c r="A268" s="75">
        <v>8</v>
      </c>
      <c r="B268" s="75"/>
      <c r="C268" s="26" t="s">
        <v>355</v>
      </c>
      <c r="D268" s="26" t="s">
        <v>411</v>
      </c>
      <c r="E268" s="29">
        <v>1</v>
      </c>
      <c r="F268" s="87"/>
      <c r="G268" s="88"/>
      <c r="H268" s="88"/>
    </row>
    <row r="269" spans="1:8" ht="14.25" customHeight="1">
      <c r="A269" s="91" t="s">
        <v>412</v>
      </c>
      <c r="B269" s="92"/>
      <c r="C269" s="92"/>
      <c r="D269" s="93"/>
      <c r="E269" s="33">
        <v>16</v>
      </c>
      <c r="F269" s="89"/>
      <c r="G269" s="90"/>
      <c r="H269" s="90"/>
    </row>
  </sheetData>
  <mergeCells count="141">
    <mergeCell ref="F227:H227"/>
    <mergeCell ref="A233:A236"/>
    <mergeCell ref="C233:C236"/>
    <mergeCell ref="E233:E236"/>
    <mergeCell ref="F233:F236"/>
    <mergeCell ref="G233:G236"/>
    <mergeCell ref="A243:A244"/>
    <mergeCell ref="C243:C244"/>
    <mergeCell ref="E243:E244"/>
    <mergeCell ref="F243:F244"/>
    <mergeCell ref="G243:G244"/>
    <mergeCell ref="H233:H236"/>
    <mergeCell ref="A238:A240"/>
    <mergeCell ref="C238:C240"/>
    <mergeCell ref="E238:E240"/>
    <mergeCell ref="F238:F240"/>
    <mergeCell ref="G238:G240"/>
    <mergeCell ref="H238:H240"/>
    <mergeCell ref="A241:A242"/>
    <mergeCell ref="C241:C242"/>
    <mergeCell ref="E241:E242"/>
    <mergeCell ref="F241:F242"/>
    <mergeCell ref="G241:G242"/>
    <mergeCell ref="H241:H242"/>
    <mergeCell ref="A193:A195"/>
    <mergeCell ref="C193:C195"/>
    <mergeCell ref="A196:A201"/>
    <mergeCell ref="C196:C201"/>
    <mergeCell ref="A202:A204"/>
    <mergeCell ref="C202:C204"/>
    <mergeCell ref="A205:D205"/>
    <mergeCell ref="F205:H205"/>
    <mergeCell ref="A226:I226"/>
    <mergeCell ref="A207:I207"/>
    <mergeCell ref="F208:H208"/>
    <mergeCell ref="C209:C213"/>
    <mergeCell ref="A214:D214"/>
    <mergeCell ref="F214:H214"/>
    <mergeCell ref="A216:I216"/>
    <mergeCell ref="F217:H217"/>
    <mergeCell ref="C218:C223"/>
    <mergeCell ref="A225:D225"/>
    <mergeCell ref="F225:H225"/>
    <mergeCell ref="A148:A152"/>
    <mergeCell ref="C148:C152"/>
    <mergeCell ref="A153:A156"/>
    <mergeCell ref="C153:C156"/>
    <mergeCell ref="A157:D157"/>
    <mergeCell ref="A181:A189"/>
    <mergeCell ref="C181:C189"/>
    <mergeCell ref="A190:A191"/>
    <mergeCell ref="C190:C191"/>
    <mergeCell ref="A111:D111"/>
    <mergeCell ref="F111:H111"/>
    <mergeCell ref="A113:I113"/>
    <mergeCell ref="F114:H114"/>
    <mergeCell ref="A115:A117"/>
    <mergeCell ref="C115:C117"/>
    <mergeCell ref="A118:A125"/>
    <mergeCell ref="C118:C125"/>
    <mergeCell ref="A146:A147"/>
    <mergeCell ref="C146:C147"/>
    <mergeCell ref="A126:A127"/>
    <mergeCell ref="C126:C127"/>
    <mergeCell ref="A128:A132"/>
    <mergeCell ref="C128:C132"/>
    <mergeCell ref="A133:A140"/>
    <mergeCell ref="C133:C140"/>
    <mergeCell ref="A141:A142"/>
    <mergeCell ref="C141:C142"/>
    <mergeCell ref="A143:A145"/>
    <mergeCell ref="C143:C145"/>
    <mergeCell ref="C37:C48"/>
    <mergeCell ref="B2:B7"/>
    <mergeCell ref="B8:B35"/>
    <mergeCell ref="C8:C22"/>
    <mergeCell ref="C24:C25"/>
    <mergeCell ref="C26:C32"/>
    <mergeCell ref="E26:E27"/>
    <mergeCell ref="C33:C35"/>
    <mergeCell ref="E42:E43"/>
    <mergeCell ref="A101:A109"/>
    <mergeCell ref="C101:C109"/>
    <mergeCell ref="E101:E109"/>
    <mergeCell ref="A92:A95"/>
    <mergeCell ref="C92:C95"/>
    <mergeCell ref="A96:A98"/>
    <mergeCell ref="C96:C98"/>
    <mergeCell ref="E96:E98"/>
    <mergeCell ref="A80:A83"/>
    <mergeCell ref="C80:C83"/>
    <mergeCell ref="E80:E87"/>
    <mergeCell ref="A84:A87"/>
    <mergeCell ref="C84:C87"/>
    <mergeCell ref="A88:A91"/>
    <mergeCell ref="C88:C91"/>
    <mergeCell ref="E88:E95"/>
    <mergeCell ref="A99:A100"/>
    <mergeCell ref="C99:C100"/>
    <mergeCell ref="E99:E100"/>
    <mergeCell ref="F157:H157"/>
    <mergeCell ref="A159:I159"/>
    <mergeCell ref="F160:H160"/>
    <mergeCell ref="A161:A163"/>
    <mergeCell ref="C161:C163"/>
    <mergeCell ref="A164:A171"/>
    <mergeCell ref="C164:C171"/>
    <mergeCell ref="A172:A180"/>
    <mergeCell ref="C172:C180"/>
    <mergeCell ref="H243:H244"/>
    <mergeCell ref="A245:A246"/>
    <mergeCell ref="C245:C246"/>
    <mergeCell ref="E245:E246"/>
    <mergeCell ref="F245:F246"/>
    <mergeCell ref="G245:G246"/>
    <mergeCell ref="H245:H246"/>
    <mergeCell ref="A248:D248"/>
    <mergeCell ref="F248:H248"/>
    <mergeCell ref="A250:I250"/>
    <mergeCell ref="F251:H251"/>
    <mergeCell ref="C252:D252"/>
    <mergeCell ref="C253:D253"/>
    <mergeCell ref="C254:D254"/>
    <mergeCell ref="A255:D255"/>
    <mergeCell ref="F255:H255"/>
    <mergeCell ref="A256:I256"/>
    <mergeCell ref="F257:H257"/>
    <mergeCell ref="F268:H269"/>
    <mergeCell ref="A269:D269"/>
    <mergeCell ref="A259:A261"/>
    <mergeCell ref="C259:C261"/>
    <mergeCell ref="E259:E261"/>
    <mergeCell ref="F259:F260"/>
    <mergeCell ref="G259:G260"/>
    <mergeCell ref="H259:H260"/>
    <mergeCell ref="A262:A263"/>
    <mergeCell ref="C262:C263"/>
    <mergeCell ref="E262:E263"/>
    <mergeCell ref="F262:F263"/>
    <mergeCell ref="G262:G263"/>
    <mergeCell ref="H262:H26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CHEDULE86_Button2_Click">
                <anchor moveWithCells="1" sizeWithCells="1">
                  <from>
                    <xdr:col>9</xdr:col>
                    <xdr:colOff>449580</xdr:colOff>
                    <xdr:row>0</xdr:row>
                    <xdr:rowOff>83820</xdr:rowOff>
                  </from>
                  <to>
                    <xdr:col>12</xdr:col>
                    <xdr:colOff>106680</xdr:colOff>
                    <xdr:row>0</xdr:row>
                    <xdr:rowOff>502920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28F5D-C881-4B8A-944E-BD9253D3FC25}">
  <sheetPr codeName="Sheet2"/>
  <dimension ref="A1:O49"/>
  <sheetViews>
    <sheetView showGridLines="0" workbookViewId="0">
      <selection activeCell="I5" sqref="I5"/>
    </sheetView>
  </sheetViews>
  <sheetFormatPr defaultRowHeight="14.4"/>
  <cols>
    <col min="2" max="2" width="49.44140625" bestFit="1" customWidth="1"/>
    <col min="3" max="3" width="16.88671875" bestFit="1" customWidth="1"/>
    <col min="4" max="4" width="17.6640625" customWidth="1"/>
    <col min="9" max="9" width="20.88671875" bestFit="1" customWidth="1"/>
    <col min="13" max="13" width="9.6640625" customWidth="1"/>
    <col min="15" max="15" width="11.5546875" customWidth="1"/>
  </cols>
  <sheetData>
    <row r="1" spans="1:15" ht="32.4" customHeight="1" thickBot="1">
      <c r="A1" s="16" t="s">
        <v>5</v>
      </c>
      <c r="B1" s="16" t="s">
        <v>6</v>
      </c>
      <c r="C1" s="16" t="s">
        <v>7</v>
      </c>
      <c r="D1" s="16" t="s">
        <v>68</v>
      </c>
      <c r="I1" s="16" t="s">
        <v>4</v>
      </c>
      <c r="J1" s="168" t="s">
        <v>99</v>
      </c>
      <c r="K1" s="168"/>
      <c r="M1" s="3" t="s">
        <v>3</v>
      </c>
      <c r="N1" s="3"/>
    </row>
    <row r="2" spans="1:15" ht="30" thickTop="1" thickBot="1">
      <c r="A2">
        <v>1</v>
      </c>
      <c r="B2" s="1" t="s">
        <v>11</v>
      </c>
      <c r="C2" t="str">
        <f>IFERROR(IF(D2=0,IF($K$6=1,VLOOKUP(B2,SOURCE!$D$1:$H$51,3,0),IF($K$6=2,VLOOKUP(B2,SOURCE!$D$1:$H$51,4,0),VLOOKUP(B2,SOURCE!$D$1:$H$51,5,0))),IF(D2=1,VLOOKUP(B2,SOURCE!$D$1:$H$51,3,0),IF(D2=2,VLOOKUP(B2,SOURCE!$D$1:$H$51,4,0),VLOOKUP(B2,SOURCE!$D$1:$H$51,5,0))))," ")</f>
        <v>Batch Coordinator</v>
      </c>
      <c r="D2">
        <v>0</v>
      </c>
      <c r="I2" s="17">
        <v>6</v>
      </c>
      <c r="J2" s="17">
        <f>K2-1</f>
        <v>48</v>
      </c>
      <c r="K2" s="79">
        <v>49</v>
      </c>
      <c r="M2" s="167"/>
      <c r="N2" s="167"/>
    </row>
    <row r="3" spans="1:15" ht="15.6" thickTop="1" thickBot="1">
      <c r="A3">
        <v>2</v>
      </c>
      <c r="B3" s="1" t="s">
        <v>13</v>
      </c>
      <c r="C3" t="str">
        <f>IFERROR(IF(D3=0,IF($K$6=1,VLOOKUP(B3,SOURCE!$D$1:$H$51,3,0),IF($K$6=2,VLOOKUP(B3,SOURCE!$D$1:$H$51,4,0),VLOOKUP(B3,SOURCE!$D$1:$H$51,5,0))),IF(D3=1,VLOOKUP(B3,SOURCE!$D$1:$H$51,3,0),IF(D3=2,VLOOKUP(B3,SOURCE!$D$1:$H$51,4,0),VLOOKUP(B3,SOURCE!$D$1:$H$51,5,0))))," ")</f>
        <v>Batch Coordinator</v>
      </c>
      <c r="D3">
        <v>0</v>
      </c>
      <c r="M3" s="167"/>
      <c r="N3" s="167"/>
    </row>
    <row r="4" spans="1:15" ht="30" thickTop="1" thickBot="1">
      <c r="A4">
        <v>3</v>
      </c>
      <c r="B4" s="1" t="s">
        <v>14</v>
      </c>
      <c r="C4" t="str">
        <f>IFERROR(IF(D4=0,IF($K$6=1,VLOOKUP(B4,SOURCE!$D$1:$H$51,3,0),IF($K$6=2,VLOOKUP(B4,SOURCE!$D$1:$H$51,4,0),VLOOKUP(B4,SOURCE!$D$1:$H$51,5,0))),IF(D4=1,VLOOKUP(B4,SOURCE!$D$1:$H$51,3,0),IF(D4=2,VLOOKUP(B4,SOURCE!$D$1:$H$51,4,0),VLOOKUP(B4,SOURCE!$D$1:$H$51,5,0))))," ")</f>
        <v>Principal / PO / APO</v>
      </c>
      <c r="D4">
        <v>0</v>
      </c>
      <c r="I4" s="85" t="s">
        <v>418</v>
      </c>
      <c r="K4">
        <v>3</v>
      </c>
      <c r="M4" s="167"/>
      <c r="N4" s="167"/>
    </row>
    <row r="5" spans="1:15" ht="15.6" thickTop="1" thickBot="1">
      <c r="A5">
        <v>4</v>
      </c>
      <c r="B5" s="1" t="s">
        <v>16</v>
      </c>
      <c r="C5" t="str">
        <f>IFERROR(IF(D5=0,IF($K$6=1,VLOOKUP(B5,SOURCE!$D$1:$H$51,3,0),IF($K$6=2,VLOOKUP(B5,SOURCE!$D$1:$H$51,4,0),VLOOKUP(B5,SOURCE!$D$1:$H$51,5,0))),IF(D5=1,VLOOKUP(B5,SOURCE!$D$1:$H$51,3,0),IF(D5=2,VLOOKUP(B5,SOURCE!$D$1:$H$51,4,0),VLOOKUP(B5,SOURCE!$D$1:$H$51,5,0))))," ")</f>
        <v>Safety Wing</v>
      </c>
      <c r="D5">
        <v>0</v>
      </c>
      <c r="I5" s="85">
        <v>5</v>
      </c>
      <c r="M5" s="167"/>
      <c r="N5" s="167"/>
      <c r="O5" s="86">
        <v>5</v>
      </c>
    </row>
    <row r="6" spans="1:15" ht="24" customHeight="1" thickTop="1" thickBot="1">
      <c r="A6">
        <v>5</v>
      </c>
      <c r="B6" s="1" t="s">
        <v>18</v>
      </c>
      <c r="C6" t="str">
        <f>IFERROR(IF(D6=0,IF($K$6=1,VLOOKUP(B6,SOURCE!$D$1:$H$51,3,0),IF($K$6=2,VLOOKUP(B6,SOURCE!$D$1:$H$51,4,0),VLOOKUP(B6,SOURCE!$D$1:$H$51,5,0))),IF(D6=1,VLOOKUP(B6,SOURCE!$D$1:$H$51,3,0),IF(D6=2,VLOOKUP(B6,SOURCE!$D$1:$H$51,4,0),VLOOKUP(B6,SOURCE!$D$1:$H$51,5,0))))," ")</f>
        <v>E&amp;M Wing</v>
      </c>
      <c r="D6">
        <v>0</v>
      </c>
      <c r="K6" s="2">
        <v>1</v>
      </c>
      <c r="M6" s="167"/>
      <c r="N6" s="167"/>
      <c r="O6" s="80">
        <v>6</v>
      </c>
    </row>
    <row r="7" spans="1:15" ht="29.4" thickTop="1">
      <c r="A7">
        <v>6</v>
      </c>
      <c r="B7" s="1" t="s">
        <v>20</v>
      </c>
      <c r="C7" t="str">
        <f>IFERROR(IF(D7=0,IF($K$6=1,VLOOKUP(B7,SOURCE!$D$1:$H$51,3,0),IF($K$6=2,VLOOKUP(B7,SOURCE!$D$1:$H$51,4,0),VLOOKUP(B7,SOURCE!$D$1:$H$51,5,0))),IF(D7=1,VLOOKUP(B7,SOURCE!$D$1:$H$51,3,0),IF(D7=2,VLOOKUP(B7,SOURCE!$D$1:$H$51,4,0),VLOOKUP(B7,SOURCE!$D$1:$H$51,5,0))))," ")</f>
        <v>OCC</v>
      </c>
      <c r="D7">
        <v>0</v>
      </c>
      <c r="M7" s="3"/>
      <c r="N7" s="3"/>
      <c r="O7" s="80">
        <v>8</v>
      </c>
    </row>
    <row r="8" spans="1:15">
      <c r="A8">
        <v>7</v>
      </c>
      <c r="B8" s="1" t="s">
        <v>22</v>
      </c>
      <c r="C8" t="str">
        <f>IFERROR(IF(D8=0,IF($K$6=1,VLOOKUP(B8,SOURCE!$D$1:$H$51,3,0),IF($K$6=2,VLOOKUP(B8,SOURCE!$D$1:$H$51,4,0),VLOOKUP(B8,SOURCE!$D$1:$H$51,5,0))),IF(D8=1,VLOOKUP(B8,SOURCE!$D$1:$H$51,3,0),IF(D8=2,VLOOKUP(B8,SOURCE!$D$1:$H$51,4,0),VLOOKUP(B8,SOURCE!$D$1:$H$51,5,0))))," ")</f>
        <v>First Aid Faculty</v>
      </c>
      <c r="D8">
        <v>0</v>
      </c>
    </row>
    <row r="9" spans="1:15">
      <c r="A9">
        <v>8</v>
      </c>
      <c r="B9" s="1" t="s">
        <v>24</v>
      </c>
      <c r="C9" t="str">
        <f>IFERROR(IF(D9=0,IF($K$6=1,VLOOKUP(B9,SOURCE!$D$1:$H$51,3,0),IF($K$6=2,VLOOKUP(B9,SOURCE!$D$1:$H$51,4,0),VLOOKUP(B9,SOURCE!$D$1:$H$51,5,0))),IF(D9=1,VLOOKUP(B9,SOURCE!$D$1:$H$51,3,0),IF(D9=2,VLOOKUP(B9,SOURCE!$D$1:$H$51,4,0),VLOOKUP(B9,SOURCE!$D$1:$H$51,5,0))))," ")</f>
        <v>First Aid Faculty</v>
      </c>
      <c r="D9">
        <v>0</v>
      </c>
    </row>
    <row r="10" spans="1:15">
      <c r="A10">
        <v>9</v>
      </c>
      <c r="B10" s="1" t="s">
        <v>25</v>
      </c>
      <c r="C10" t="str">
        <f>IFERROR(IF(D10=0,IF($K$6=1,VLOOKUP(B10,SOURCE!$D$1:$H$51,3,0),IF($K$6=2,VLOOKUP(B10,SOURCE!$D$1:$H$51,4,0),VLOOKUP(B10,SOURCE!$D$1:$H$51,5,0))),IF(D10=1,VLOOKUP(B10,SOURCE!$D$1:$H$51,3,0),IF(D10=2,VLOOKUP(B10,SOURCE!$D$1:$H$51,4,0),VLOOKUP(B10,SOURCE!$D$1:$H$51,5,0))))," ")</f>
        <v>First Aid Faculty</v>
      </c>
      <c r="D10">
        <v>0</v>
      </c>
    </row>
    <row r="11" spans="1:15">
      <c r="A11">
        <v>10</v>
      </c>
      <c r="B11" s="1" t="s">
        <v>26</v>
      </c>
      <c r="C11" t="str">
        <f>IFERROR(IF(D11=0,IF($K$6=1,VLOOKUP(B11,SOURCE!$D$1:$H$51,3,0),IF($K$6=2,VLOOKUP(B11,SOURCE!$D$1:$H$51,4,0),VLOOKUP(B11,SOURCE!$D$1:$H$51,5,0))),IF(D11=1,VLOOKUP(B11,SOURCE!$D$1:$H$51,3,0),IF(D11=2,VLOOKUP(B11,SOURCE!$D$1:$H$51,4,0),VLOOKUP(B11,SOURCE!$D$1:$H$51,5,0))))," ")</f>
        <v>First Aid Faculty</v>
      </c>
      <c r="D11">
        <v>0</v>
      </c>
      <c r="M11" s="169" t="s">
        <v>100</v>
      </c>
      <c r="N11" s="169"/>
    </row>
    <row r="12" spans="1:15">
      <c r="A12">
        <v>11</v>
      </c>
      <c r="B12" s="1" t="s">
        <v>27</v>
      </c>
      <c r="C12" t="str">
        <f>IFERROR(IF(D12=0,IF($K$6=1,VLOOKUP(B12,SOURCE!$D$1:$H$51,3,0),IF($K$6=2,VLOOKUP(B12,SOURCE!$D$1:$H$51,4,0),VLOOKUP(B12,SOURCE!$D$1:$H$51,5,0))),IF(D12=1,VLOOKUP(B12,SOURCE!$D$1:$H$51,3,0),IF(D12=2,VLOOKUP(B12,SOURCE!$D$1:$H$51,4,0),VLOOKUP(B12,SOURCE!$D$1:$H$51,5,0))))," ")</f>
        <v>First Aid Faculty</v>
      </c>
      <c r="D12">
        <v>0</v>
      </c>
      <c r="M12" t="s">
        <v>0</v>
      </c>
      <c r="N12">
        <v>1</v>
      </c>
    </row>
    <row r="13" spans="1:15">
      <c r="A13">
        <v>12</v>
      </c>
      <c r="B13" s="1" t="s">
        <v>28</v>
      </c>
      <c r="C13" t="str">
        <f>IFERROR(IF(D13=0,IF($K$6=1,VLOOKUP(B13,SOURCE!$D$1:$H$51,3,0),IF($K$6=2,VLOOKUP(B13,SOURCE!$D$1:$H$51,4,0),VLOOKUP(B13,SOURCE!$D$1:$H$51,5,0))),IF(D13=1,VLOOKUP(B13,SOURCE!$D$1:$H$51,3,0),IF(D13=2,VLOOKUP(B13,SOURCE!$D$1:$H$51,4,0),VLOOKUP(B13,SOURCE!$D$1:$H$51,5,0))))," ")</f>
        <v>First Aid Faculty</v>
      </c>
      <c r="D13">
        <v>0</v>
      </c>
      <c r="M13" t="s">
        <v>1</v>
      </c>
      <c r="N13">
        <v>2</v>
      </c>
    </row>
    <row r="14" spans="1:15">
      <c r="A14">
        <v>13</v>
      </c>
      <c r="B14" s="1" t="s">
        <v>29</v>
      </c>
      <c r="C14" t="str">
        <f>IFERROR(IF(D14=0,IF($K$6=1,VLOOKUP(B14,SOURCE!$D$1:$H$51,3,0),IF($K$6=2,VLOOKUP(B14,SOURCE!$D$1:$H$51,4,0),VLOOKUP(B14,SOURCE!$D$1:$H$51,5,0))),IF(D14=1,VLOOKUP(B14,SOURCE!$D$1:$H$51,3,0),IF(D14=2,VLOOKUP(B14,SOURCE!$D$1:$H$51,4,0),VLOOKUP(B14,SOURCE!$D$1:$H$51,5,0))))," ")</f>
        <v>First Aid Faculty</v>
      </c>
      <c r="D14">
        <v>0</v>
      </c>
      <c r="M14" t="s">
        <v>2</v>
      </c>
      <c r="N14">
        <v>3</v>
      </c>
    </row>
    <row r="15" spans="1:15">
      <c r="A15">
        <v>14</v>
      </c>
      <c r="B15" s="1" t="s">
        <v>30</v>
      </c>
      <c r="C15" t="str">
        <f>IFERROR(IF(D15=0,IF($K$6=1,VLOOKUP(B15,SOURCE!$D$1:$H$51,3,0),IF($K$6=2,VLOOKUP(B15,SOURCE!$D$1:$H$51,4,0),VLOOKUP(B15,SOURCE!$D$1:$H$51,5,0))),IF(D15=1,VLOOKUP(B15,SOURCE!$D$1:$H$51,3,0),IF(D15=2,VLOOKUP(B15,SOURCE!$D$1:$H$51,4,0),VLOOKUP(B15,SOURCE!$D$1:$H$51,5,0))))," ")</f>
        <v>First Aid Faculty</v>
      </c>
      <c r="D15">
        <v>0</v>
      </c>
      <c r="M15" s="170" t="s">
        <v>101</v>
      </c>
      <c r="N15">
        <v>0</v>
      </c>
    </row>
    <row r="16" spans="1:15">
      <c r="A16">
        <v>15</v>
      </c>
      <c r="B16" s="1" t="s">
        <v>31</v>
      </c>
      <c r="C16" t="str">
        <f>IFERROR(IF(D16=0,IF($K$6=1,VLOOKUP(B16,SOURCE!$D$1:$H$51,3,0),IF($K$6=2,VLOOKUP(B16,SOURCE!$D$1:$H$51,4,0),VLOOKUP(B16,SOURCE!$D$1:$H$51,5,0))),IF(D16=1,VLOOKUP(B16,SOURCE!$D$1:$H$51,3,0),IF(D16=2,VLOOKUP(B16,SOURCE!$D$1:$H$51,4,0),VLOOKUP(B16,SOURCE!$D$1:$H$51,5,0))))," ")</f>
        <v>First Aid Faculty</v>
      </c>
      <c r="D16">
        <v>0</v>
      </c>
      <c r="M16" s="170"/>
    </row>
    <row r="17" spans="1:4">
      <c r="A17">
        <v>16</v>
      </c>
      <c r="B17" s="1" t="s">
        <v>32</v>
      </c>
      <c r="C17" t="str">
        <f>IFERROR(IF(D17=0,IF($K$6=1,VLOOKUP(B17,SOURCE!$D$1:$H$51,3,0),IF($K$6=2,VLOOKUP(B17,SOURCE!$D$1:$H$51,4,0),VLOOKUP(B17,SOURCE!$D$1:$H$51,5,0))),IF(D17=1,VLOOKUP(B17,SOURCE!$D$1:$H$51,3,0),IF(D17=2,VLOOKUP(B17,SOURCE!$D$1:$H$51,4,0),VLOOKUP(B17,SOURCE!$D$1:$H$51,5,0))))," ")</f>
        <v>First Aid Faculty</v>
      </c>
      <c r="D17">
        <v>0</v>
      </c>
    </row>
    <row r="18" spans="1:4">
      <c r="A18">
        <v>17</v>
      </c>
      <c r="B18" s="1" t="s">
        <v>33</v>
      </c>
      <c r="C18" t="str">
        <f>IFERROR(IF(D18=0,IF($K$6=1,VLOOKUP(B18,SOURCE!$D$1:$H$51,3,0),IF($K$6=2,VLOOKUP(B18,SOURCE!$D$1:$H$51,4,0),VLOOKUP(B18,SOURCE!$D$1:$H$51,5,0))),IF(D18=1,VLOOKUP(B18,SOURCE!$D$1:$H$51,3,0),IF(D18=2,VLOOKUP(B18,SOURCE!$D$1:$H$51,4,0),VLOOKUP(B18,SOURCE!$D$1:$H$51,5,0))))," ")</f>
        <v>First Aid Faculty</v>
      </c>
      <c r="D18">
        <v>0</v>
      </c>
    </row>
    <row r="19" spans="1:4">
      <c r="A19">
        <v>18</v>
      </c>
      <c r="B19" s="1" t="s">
        <v>33</v>
      </c>
      <c r="C19" t="str">
        <f>IFERROR(IF(D19=0,IF($K$6=1,VLOOKUP(B19,SOURCE!$D$1:$H$51,3,0),IF($K$6=2,VLOOKUP(B19,SOURCE!$D$1:$H$51,4,0),VLOOKUP(B19,SOURCE!$D$1:$H$51,5,0))),IF(D19=1,VLOOKUP(B19,SOURCE!$D$1:$H$51,3,0),IF(D19=2,VLOOKUP(B19,SOURCE!$D$1:$H$51,4,0),VLOOKUP(B19,SOURCE!$D$1:$H$51,5,0))))," ")</f>
        <v>First Aid Faculty</v>
      </c>
      <c r="D19">
        <v>0</v>
      </c>
    </row>
    <row r="20" spans="1:4">
      <c r="A20">
        <v>19</v>
      </c>
      <c r="B20" s="1" t="s">
        <v>34</v>
      </c>
      <c r="C20" t="str">
        <f>IFERROR(IF(D20=0,IF($K$6=1,VLOOKUP(B20,SOURCE!$D$1:$H$51,3,0),IF($K$6=2,VLOOKUP(B20,SOURCE!$D$1:$H$51,4,0),VLOOKUP(B20,SOURCE!$D$1:$H$51,5,0))),IF(D20=1,VLOOKUP(B20,SOURCE!$D$1:$H$51,3,0),IF(D20=2,VLOOKUP(B20,SOURCE!$D$1:$H$51,4,0),VLOOKUP(B20,SOURCE!$D$1:$H$51,5,0))))," ")</f>
        <v>First Aid Faculty</v>
      </c>
      <c r="D20">
        <v>0</v>
      </c>
    </row>
    <row r="21" spans="1:4">
      <c r="A21">
        <v>20</v>
      </c>
      <c r="B21" s="1" t="s">
        <v>34</v>
      </c>
      <c r="C21" t="str">
        <f>IFERROR(IF(D21=0,IF($K$6=1,VLOOKUP(B21,SOURCE!$D$1:$H$51,3,0),IF($K$6=2,VLOOKUP(B21,SOURCE!$D$1:$H$51,4,0),VLOOKUP(B21,SOURCE!$D$1:$H$51,5,0))),IF(D21=1,VLOOKUP(B21,SOURCE!$D$1:$H$51,3,0),IF(D21=2,VLOOKUP(B21,SOURCE!$D$1:$H$51,4,0),VLOOKUP(B21,SOURCE!$D$1:$H$51,5,0))))," ")</f>
        <v>First Aid Faculty</v>
      </c>
      <c r="D21">
        <v>0</v>
      </c>
    </row>
    <row r="22" spans="1:4">
      <c r="A22">
        <v>21</v>
      </c>
      <c r="B22" s="1" t="s">
        <v>34</v>
      </c>
      <c r="C22" t="str">
        <f>IFERROR(IF(D22=0,IF($K$6=1,VLOOKUP(B22,SOURCE!$D$1:$H$51,3,0),IF($K$6=2,VLOOKUP(B22,SOURCE!$D$1:$H$51,4,0),VLOOKUP(B22,SOURCE!$D$1:$H$51,5,0))),IF(D22=1,VLOOKUP(B22,SOURCE!$D$1:$H$51,3,0),IF(D22=2,VLOOKUP(B22,SOURCE!$D$1:$H$51,4,0),VLOOKUP(B22,SOURCE!$D$1:$H$51,5,0))))," ")</f>
        <v>First Aid Faculty</v>
      </c>
      <c r="D22">
        <v>0</v>
      </c>
    </row>
    <row r="23" spans="1:4">
      <c r="A23">
        <v>22</v>
      </c>
      <c r="B23" s="1" t="s">
        <v>35</v>
      </c>
      <c r="C23" t="str">
        <f>IFERROR(IF(D23=0,IF($K$6=1,VLOOKUP(B23,SOURCE!$D$1:$H$51,3,0),IF($K$6=2,VLOOKUP(B23,SOURCE!$D$1:$H$51,4,0),VLOOKUP(B23,SOURCE!$D$1:$H$51,5,0))),IF(D23=1,VLOOKUP(B23,SOURCE!$D$1:$H$51,3,0),IF(D23=2,VLOOKUP(B23,SOURCE!$D$1:$H$51,4,0),VLOOKUP(B23,SOURCE!$D$1:$H$51,5,0))))," ")</f>
        <v>First Aid Faculty</v>
      </c>
      <c r="D23">
        <v>0</v>
      </c>
    </row>
    <row r="24" spans="1:4">
      <c r="A24">
        <v>23</v>
      </c>
      <c r="B24" s="1" t="s">
        <v>35</v>
      </c>
      <c r="C24" t="str">
        <f>IFERROR(IF(D24=0,IF($K$6=1,VLOOKUP(B24,SOURCE!$D$1:$H$51,3,0),IF($K$6=2,VLOOKUP(B24,SOURCE!$D$1:$H$51,4,0),VLOOKUP(B24,SOURCE!$D$1:$H$51,5,0))),IF(D24=1,VLOOKUP(B24,SOURCE!$D$1:$H$51,3,0),IF(D24=2,VLOOKUP(B24,SOURCE!$D$1:$H$51,4,0),VLOOKUP(B24,SOURCE!$D$1:$H$51,5,0))))," ")</f>
        <v>First Aid Faculty</v>
      </c>
      <c r="D24">
        <v>0</v>
      </c>
    </row>
    <row r="25" spans="1:4">
      <c r="A25">
        <v>24</v>
      </c>
      <c r="B25" s="1" t="s">
        <v>36</v>
      </c>
      <c r="C25" t="str">
        <f>IFERROR(IF(D25=0,IF($K$6=1,VLOOKUP(B25,SOURCE!$D$1:$H$51,3,0),IF($K$6=2,VLOOKUP(B25,SOURCE!$D$1:$H$51,4,0),VLOOKUP(B25,SOURCE!$D$1:$H$51,5,0))),IF(D25=1,VLOOKUP(B25,SOURCE!$D$1:$H$51,3,0),IF(D25=2,VLOOKUP(B25,SOURCE!$D$1:$H$51,4,0),VLOOKUP(B25,SOURCE!$D$1:$H$51,5,0))))," ")</f>
        <v>First Aid Faculty</v>
      </c>
      <c r="D25">
        <v>0</v>
      </c>
    </row>
    <row r="26" spans="1:4" ht="28.8">
      <c r="A26">
        <v>25</v>
      </c>
      <c r="B26" s="1" t="s">
        <v>37</v>
      </c>
      <c r="C26" t="str">
        <f>IFERROR(IF(D26=0,IF($K$6=1,VLOOKUP(B26,SOURCE!$D$1:$H$51,3,0),IF($K$6=2,VLOOKUP(B26,SOURCE!$D$1:$H$51,4,0),VLOOKUP(B26,SOURCE!$D$1:$H$51,5,0))),IF(D26=1,VLOOKUP(B26,SOURCE!$D$1:$H$51,3,0),IF(D26=2,VLOOKUP(B26,SOURCE!$D$1:$H$51,4,0),VLOOKUP(B26,SOURCE!$D$1:$H$51,5,0))))," ")</f>
        <v>Fire Fighting Faculty</v>
      </c>
      <c r="D26">
        <v>0</v>
      </c>
    </row>
    <row r="27" spans="1:4">
      <c r="A27">
        <v>26</v>
      </c>
      <c r="B27" s="1" t="s">
        <v>39</v>
      </c>
      <c r="C27" t="str">
        <f>IFERROR(IF(D27=0,IF($K$6=1,VLOOKUP(B27,SOURCE!$D$1:$H$51,3,0),IF($K$6=2,VLOOKUP(B27,SOURCE!$D$1:$H$51,4,0),VLOOKUP(B27,SOURCE!$D$1:$H$51,5,0))),IF(D27=1,VLOOKUP(B27,SOURCE!$D$1:$H$51,3,0),IF(D27=2,VLOOKUP(B27,SOURCE!$D$1:$H$51,4,0),VLOOKUP(B27,SOURCE!$D$1:$H$51,5,0))))," ")</f>
        <v>Fire Fighting Faculty</v>
      </c>
      <c r="D27">
        <v>0</v>
      </c>
    </row>
    <row r="28" spans="1:4">
      <c r="A28">
        <v>27</v>
      </c>
      <c r="B28" s="1" t="s">
        <v>40</v>
      </c>
      <c r="C28" t="str">
        <f>IFERROR(IF(D28=0,IF($K$6=1,VLOOKUP(B28,SOURCE!$D$1:$H$51,3,0),IF($K$6=2,VLOOKUP(B28,SOURCE!$D$1:$H$51,4,0),VLOOKUP(B28,SOURCE!$D$1:$H$51,5,0))),IF(D28=1,VLOOKUP(B28,SOURCE!$D$1:$H$51,3,0),IF(D28=2,VLOOKUP(B28,SOURCE!$D$1:$H$51,4,0),VLOOKUP(B28,SOURCE!$D$1:$H$51,5,0))))," ")</f>
        <v>Fire Fighting Faculty</v>
      </c>
      <c r="D28">
        <v>0</v>
      </c>
    </row>
    <row r="29" spans="1:4" ht="28.8">
      <c r="A29">
        <v>28</v>
      </c>
      <c r="B29" s="1" t="s">
        <v>41</v>
      </c>
      <c r="C29" t="str">
        <f>IFERROR(IF(D29=0,IF($K$6=1,VLOOKUP(B29,SOURCE!$D$1:$H$51,3,0),IF($K$6=2,VLOOKUP(B29,SOURCE!$D$1:$H$51,4,0),VLOOKUP(B29,SOURCE!$D$1:$H$51,5,0))),IF(D29=1,VLOOKUP(B29,SOURCE!$D$1:$H$51,3,0),IF(D29=2,VLOOKUP(B29,SOURCE!$D$1:$H$51,4,0),VLOOKUP(B29,SOURCE!$D$1:$H$51,5,0))))," ")</f>
        <v>Fire Fighting Faculty</v>
      </c>
      <c r="D29">
        <v>0</v>
      </c>
    </row>
    <row r="30" spans="1:4" ht="28.8">
      <c r="A30">
        <v>29</v>
      </c>
      <c r="B30" s="1" t="s">
        <v>42</v>
      </c>
      <c r="C30" t="str">
        <f>IFERROR(IF(D30=0,IF($K$6=1,VLOOKUP(B30,SOURCE!$D$1:$H$51,3,0),IF($K$6=2,VLOOKUP(B30,SOURCE!$D$1:$H$51,4,0),VLOOKUP(B30,SOURCE!$D$1:$H$51,5,0))),IF(D30=1,VLOOKUP(B30,SOURCE!$D$1:$H$51,3,0),IF(D30=2,VLOOKUP(B30,SOURCE!$D$1:$H$51,4,0),VLOOKUP(B30,SOURCE!$D$1:$H$51,5,0))))," ")</f>
        <v>Fire Fighting Faculty</v>
      </c>
      <c r="D30">
        <v>0</v>
      </c>
    </row>
    <row r="31" spans="1:4" ht="28.8">
      <c r="A31">
        <v>30</v>
      </c>
      <c r="B31" s="1" t="s">
        <v>42</v>
      </c>
      <c r="C31" t="str">
        <f>IFERROR(IF(D31=0,IF($K$6=1,VLOOKUP(B31,SOURCE!$D$1:$H$51,3,0),IF($K$6=2,VLOOKUP(B31,SOURCE!$D$1:$H$51,4,0),VLOOKUP(B31,SOURCE!$D$1:$H$51,5,0))),IF(D31=1,VLOOKUP(B31,SOURCE!$D$1:$H$51,3,0),IF(D31=2,VLOOKUP(B31,SOURCE!$D$1:$H$51,4,0),VLOOKUP(B31,SOURCE!$D$1:$H$51,5,0))))," ")</f>
        <v>Fire Fighting Faculty</v>
      </c>
      <c r="D31">
        <v>0</v>
      </c>
    </row>
    <row r="32" spans="1:4" ht="28.8">
      <c r="A32">
        <v>31</v>
      </c>
      <c r="B32" s="1" t="s">
        <v>43</v>
      </c>
      <c r="C32" t="str">
        <f>IFERROR(IF(D32=0,IF($K$6=1,VLOOKUP(B32,SOURCE!$D$1:$H$51,3,0),IF($K$6=2,VLOOKUP(B32,SOURCE!$D$1:$H$51,4,0),VLOOKUP(B32,SOURCE!$D$1:$H$51,5,0))),IF(D32=1,VLOOKUP(B32,SOURCE!$D$1:$H$51,3,0),IF(D32=2,VLOOKUP(B32,SOURCE!$D$1:$H$51,4,0),VLOOKUP(B32,SOURCE!$D$1:$H$51,5,0))))," ")</f>
        <v>Fire Fighting Faculty</v>
      </c>
      <c r="D32">
        <v>0</v>
      </c>
    </row>
    <row r="33" spans="1:4">
      <c r="A33">
        <v>32</v>
      </c>
      <c r="B33" s="1" t="s">
        <v>44</v>
      </c>
      <c r="C33" t="str">
        <f>IFERROR(IF(D33=0,IF($K$6=1,VLOOKUP(B33,SOURCE!$D$1:$H$51,3,0),IF($K$6=2,VLOOKUP(B33,SOURCE!$D$1:$H$51,4,0),VLOOKUP(B33,SOURCE!$D$1:$H$51,5,0))),IF(D33=1,VLOOKUP(B33,SOURCE!$D$1:$H$51,3,0),IF(D33=2,VLOOKUP(B33,SOURCE!$D$1:$H$51,4,0),VLOOKUP(B33,SOURCE!$D$1:$H$51,5,0))))," ")</f>
        <v>Security Staff</v>
      </c>
      <c r="D33">
        <v>0</v>
      </c>
    </row>
    <row r="34" spans="1:4" ht="28.8">
      <c r="A34">
        <v>33</v>
      </c>
      <c r="B34" s="1" t="s">
        <v>46</v>
      </c>
      <c r="C34" t="str">
        <f>IFERROR(IF(D34=0,IF($K$6=1,VLOOKUP(B34,SOURCE!$D$1:$H$51,3,0),IF($K$6=2,VLOOKUP(B34,SOURCE!$D$1:$H$51,4,0),VLOOKUP(B34,SOURCE!$D$1:$H$51,5,0))),IF(D34=1,VLOOKUP(B34,SOURCE!$D$1:$H$51,3,0),IF(D34=2,VLOOKUP(B34,SOURCE!$D$1:$H$51,4,0),VLOOKUP(B34,SOURCE!$D$1:$H$51,5,0))))," ")</f>
        <v>Security Staff</v>
      </c>
      <c r="D34">
        <v>0</v>
      </c>
    </row>
    <row r="35" spans="1:4" ht="28.8">
      <c r="A35">
        <v>34</v>
      </c>
      <c r="B35" s="1" t="s">
        <v>47</v>
      </c>
      <c r="C35" t="str">
        <f>IFERROR(IF(D35=0,IF($K$6=1,VLOOKUP(B35,SOURCE!$D$1:$H$51,3,0),IF($K$6=2,VLOOKUP(B35,SOURCE!$D$1:$H$51,4,0),VLOOKUP(B35,SOURCE!$D$1:$H$51,5,0))),IF(D35=1,VLOOKUP(B35,SOURCE!$D$1:$H$51,3,0),IF(D35=2,VLOOKUP(B35,SOURCE!$D$1:$H$51,4,0),VLOOKUP(B35,SOURCE!$D$1:$H$51,5,0))))," ")</f>
        <v>Security Staff</v>
      </c>
      <c r="D35">
        <v>0</v>
      </c>
    </row>
    <row r="36" spans="1:4" ht="28.8">
      <c r="A36">
        <v>35</v>
      </c>
      <c r="B36" s="1" t="s">
        <v>58</v>
      </c>
      <c r="C36" t="str">
        <f>IFERROR(IF(D36=0,IF($K$6=1,VLOOKUP(B36,SOURCE!$D$1:$H$51,3,0),IF($K$6=2,VLOOKUP(B36,SOURCE!$D$1:$H$51,4,0),VLOOKUP(B36,SOURCE!$D$1:$H$51,5,0))),IF(D36=1,VLOOKUP(B36,SOURCE!$D$1:$H$51,3,0),IF(D36=2,VLOOKUP(B36,SOURCE!$D$1:$H$51,4,0),VLOOKUP(B36,SOURCE!$D$1:$H$51,5,0))))," ")</f>
        <v>Sh Amit Kr Singh</v>
      </c>
      <c r="D36">
        <v>0</v>
      </c>
    </row>
    <row r="37" spans="1:4">
      <c r="A37">
        <v>36</v>
      </c>
      <c r="B37" s="1"/>
      <c r="C37" t="str">
        <f>IFERROR(IF(D37=0,IF($K$6=1,VLOOKUP(B37,SOURCE!$D$1:$H$51,3,0),IF($K$6=2,VLOOKUP(B37,SOURCE!$D$1:$H$51,4,0),VLOOKUP(B37,SOURCE!$D$1:$H$51,5,0))),IF(D37=1,VLOOKUP(B37,SOURCE!$D$1:$H$51,3,0),IF(D37=2,VLOOKUP(B37,SOURCE!$D$1:$H$51,4,0),VLOOKUP(B37,SOURCE!$D$1:$H$51,5,0))))," ")</f>
        <v xml:space="preserve"> </v>
      </c>
      <c r="D37">
        <v>0</v>
      </c>
    </row>
    <row r="38" spans="1:4">
      <c r="A38">
        <v>37</v>
      </c>
      <c r="B38" s="1"/>
      <c r="C38" t="str">
        <f>IFERROR(IF(D38=0,IF($K$6=1,VLOOKUP(B38,SOURCE!$D$1:$H$51,3,0),IF($K$6=2,VLOOKUP(B38,SOURCE!$D$1:$H$51,4,0),VLOOKUP(B38,SOURCE!$D$1:$H$51,5,0))),IF(D38=1,VLOOKUP(B38,SOURCE!$D$1:$H$51,3,0),IF(D38=2,VLOOKUP(B38,SOURCE!$D$1:$H$51,4,0),VLOOKUP(B38,SOURCE!$D$1:$H$51,5,0))))," ")</f>
        <v xml:space="preserve"> </v>
      </c>
      <c r="D38">
        <v>0</v>
      </c>
    </row>
    <row r="39" spans="1:4">
      <c r="A39">
        <v>38</v>
      </c>
      <c r="B39" s="1"/>
      <c r="C39" t="str">
        <f>IFERROR(IF(D39=0,IF($K$6=1,VLOOKUP(B39,SOURCE!$D$1:$H$51,3,0),IF($K$6=2,VLOOKUP(B39,SOURCE!$D$1:$H$51,4,0),VLOOKUP(B39,SOURCE!$D$1:$H$51,5,0))),IF(D39=1,VLOOKUP(B39,SOURCE!$D$1:$H$51,3,0),IF(D39=2,VLOOKUP(B39,SOURCE!$D$1:$H$51,4,0),VLOOKUP(B39,SOURCE!$D$1:$H$51,5,0))))," ")</f>
        <v xml:space="preserve"> </v>
      </c>
      <c r="D39">
        <v>0</v>
      </c>
    </row>
    <row r="40" spans="1:4">
      <c r="A40">
        <v>39</v>
      </c>
      <c r="B40" s="1"/>
      <c r="C40" t="str">
        <f>IFERROR(IF(D40=0,IF($K$6=1,VLOOKUP(B40,SOURCE!$D$1:$H$51,3,0),IF($K$6=2,VLOOKUP(B40,SOURCE!$D$1:$H$51,4,0),VLOOKUP(B40,SOURCE!$D$1:$H$51,5,0))),IF(D40=1,VLOOKUP(B40,SOURCE!$D$1:$H$51,3,0),IF(D40=2,VLOOKUP(B40,SOURCE!$D$1:$H$51,4,0),VLOOKUP(B40,SOURCE!$D$1:$H$51,5,0))))," ")</f>
        <v xml:space="preserve"> </v>
      </c>
      <c r="D40">
        <v>0</v>
      </c>
    </row>
    <row r="41" spans="1:4">
      <c r="A41">
        <v>40</v>
      </c>
      <c r="B41" s="1"/>
      <c r="C41" t="str">
        <f>IFERROR(IF(D41=0,IF($K$6=1,VLOOKUP(B41,SOURCE!$D$1:$H$51,3,0),IF($K$6=2,VLOOKUP(B41,SOURCE!$D$1:$H$51,4,0),VLOOKUP(B41,SOURCE!$D$1:$H$51,5,0))),IF(D41=1,VLOOKUP(B41,SOURCE!$D$1:$H$51,3,0),IF(D41=2,VLOOKUP(B41,SOURCE!$D$1:$H$51,4,0),VLOOKUP(B41,SOURCE!$D$1:$H$51,5,0))))," ")</f>
        <v xml:space="preserve"> </v>
      </c>
      <c r="D41">
        <v>0</v>
      </c>
    </row>
    <row r="42" spans="1:4">
      <c r="A42">
        <v>41</v>
      </c>
      <c r="B42" s="1"/>
      <c r="C42" t="str">
        <f>IFERROR(IF(D42=0,IF($K$6=1,VLOOKUP(B42,SOURCE!$D$1:$H$51,3,0),IF($K$6=2,VLOOKUP(B42,SOURCE!$D$1:$H$51,4,0),VLOOKUP(B42,SOURCE!$D$1:$H$51,5,0))),IF(D42=1,VLOOKUP(B42,SOURCE!$D$1:$H$51,3,0),IF(D42=2,VLOOKUP(B42,SOURCE!$D$1:$H$51,4,0),VLOOKUP(B42,SOURCE!$D$1:$H$51,5,0))))," ")</f>
        <v xml:space="preserve"> </v>
      </c>
      <c r="D42">
        <v>0</v>
      </c>
    </row>
    <row r="43" spans="1:4">
      <c r="A43">
        <v>42</v>
      </c>
      <c r="B43" s="1"/>
      <c r="C43" t="str">
        <f>IFERROR(IF(D43=0,IF($K$6=1,VLOOKUP(B43,SOURCE!$D$1:$H$51,3,0),IF($K$6=2,VLOOKUP(B43,SOURCE!$D$1:$H$51,4,0),VLOOKUP(B43,SOURCE!$D$1:$H$51,5,0))),IF(D43=1,VLOOKUP(B43,SOURCE!$D$1:$H$51,3,0),IF(D43=2,VLOOKUP(B43,SOURCE!$D$1:$H$51,4,0),VLOOKUP(B43,SOURCE!$D$1:$H$51,5,0))))," ")</f>
        <v xml:space="preserve"> </v>
      </c>
      <c r="D43">
        <v>0</v>
      </c>
    </row>
    <row r="44" spans="1:4">
      <c r="A44">
        <v>43</v>
      </c>
      <c r="B44" s="1"/>
      <c r="C44" t="str">
        <f>IFERROR(IF(D44=0,IF($K$6=1,VLOOKUP(B44,SOURCE!$D$1:$H$51,3,0),IF($K$6=2,VLOOKUP(B44,SOURCE!$D$1:$H$51,4,0),VLOOKUP(B44,SOURCE!$D$1:$H$51,5,0))),IF(D44=1,VLOOKUP(B44,SOURCE!$D$1:$H$51,3,0),IF(D44=2,VLOOKUP(B44,SOURCE!$D$1:$H$51,4,0),VLOOKUP(B44,SOURCE!$D$1:$H$51,5,0))))," ")</f>
        <v xml:space="preserve"> </v>
      </c>
      <c r="D44">
        <v>0</v>
      </c>
    </row>
    <row r="45" spans="1:4">
      <c r="A45">
        <v>44</v>
      </c>
      <c r="B45" s="1"/>
      <c r="C45" t="str">
        <f>IFERROR(IF(D45=0,IF($K$6=1,VLOOKUP(B45,SOURCE!$D$1:$H$51,3,0),IF($K$6=2,VLOOKUP(B45,SOURCE!$D$1:$H$51,4,0),VLOOKUP(B45,SOURCE!$D$1:$H$51,5,0))),IF(D45=1,VLOOKUP(B45,SOURCE!$D$1:$H$51,3,0),IF(D45=2,VLOOKUP(B45,SOURCE!$D$1:$H$51,4,0),VLOOKUP(B45,SOURCE!$D$1:$H$51,5,0))))," ")</f>
        <v xml:space="preserve"> </v>
      </c>
      <c r="D45">
        <v>0</v>
      </c>
    </row>
    <row r="46" spans="1:4">
      <c r="A46">
        <v>45</v>
      </c>
      <c r="B46" s="1"/>
      <c r="C46" t="str">
        <f>IFERROR(IF(D46=0,IF($K$6=1,VLOOKUP(B46,SOURCE!$D$1:$H$51,3,0),IF($K$6=2,VLOOKUP(B46,SOURCE!$D$1:$H$51,4,0),VLOOKUP(B46,SOURCE!$D$1:$H$51,5,0))),IF(D46=1,VLOOKUP(B46,SOURCE!$D$1:$H$51,3,0),IF(D46=2,VLOOKUP(B46,SOURCE!$D$1:$H$51,4,0),VLOOKUP(B46,SOURCE!$D$1:$H$51,5,0))))," ")</f>
        <v xml:space="preserve"> </v>
      </c>
      <c r="D46">
        <v>0</v>
      </c>
    </row>
    <row r="47" spans="1:4">
      <c r="A47">
        <v>46</v>
      </c>
      <c r="B47" s="1"/>
      <c r="C47" t="str">
        <f>IFERROR(IF(D47=0,IF($K$6=1,VLOOKUP(B47,SOURCE!$D$1:$H$51,3,0),IF($K$6=2,VLOOKUP(B47,SOURCE!$D$1:$H$51,4,0),VLOOKUP(B47,SOURCE!$D$1:$H$51,5,0))),IF(D47=1,VLOOKUP(B47,SOURCE!$D$1:$H$51,3,0),IF(D47=2,VLOOKUP(B47,SOURCE!$D$1:$H$51,4,0),VLOOKUP(B47,SOURCE!$D$1:$H$51,5,0))))," ")</f>
        <v xml:space="preserve"> </v>
      </c>
      <c r="D47">
        <v>0</v>
      </c>
    </row>
    <row r="48" spans="1:4">
      <c r="A48">
        <v>47</v>
      </c>
      <c r="B48" s="1"/>
      <c r="C48" t="str">
        <f>IFERROR(IF(D48=0,IF($K$6=1,VLOOKUP(B48,SOURCE!$D$1:$H$51,3,0),IF($K$6=2,VLOOKUP(B48,SOURCE!$D$1:$H$51,4,0),VLOOKUP(B48,SOURCE!$D$1:$H$51,5,0))),IF(D48=1,VLOOKUP(B48,SOURCE!$D$1:$H$51,3,0),IF(D48=2,VLOOKUP(B48,SOURCE!$D$1:$H$51,4,0),VLOOKUP(B48,SOURCE!$D$1:$H$51,5,0))))," ")</f>
        <v xml:space="preserve"> </v>
      </c>
      <c r="D48">
        <v>0</v>
      </c>
    </row>
    <row r="49" spans="1:4">
      <c r="A49">
        <v>48</v>
      </c>
      <c r="B49" s="1"/>
      <c r="C49" t="str">
        <f>IFERROR(IF(D49=0,IF($K$6=1,VLOOKUP(B49,SOURCE!$D$1:$H$51,3,0),IF($K$6=2,VLOOKUP(B49,SOURCE!$D$1:$H$51,4,0),VLOOKUP(B49,SOURCE!$D$1:$H$51,5,0))),IF(D49=1,VLOOKUP(B49,SOURCE!$D$1:$H$51,3,0),IF(D49=2,VLOOKUP(B49,SOURCE!$D$1:$H$51,4,0),VLOOKUP(B49,SOURCE!$D$1:$H$51,5,0))))," ")</f>
        <v xml:space="preserve"> </v>
      </c>
      <c r="D49">
        <v>0</v>
      </c>
    </row>
  </sheetData>
  <mergeCells count="4">
    <mergeCell ref="M2:N6"/>
    <mergeCell ref="J1:K1"/>
    <mergeCell ref="M11:N11"/>
    <mergeCell ref="M15:M16"/>
  </mergeCells>
  <dataValidations count="3">
    <dataValidation type="list" allowBlank="1" showInputMessage="1" showErrorMessage="1" sqref="D2:D49" xr:uid="{C508F639-72AD-4948-8C33-0C36E15D82B3}">
      <formula1>$N$12:$N$15</formula1>
    </dataValidation>
    <dataValidation type="list" allowBlank="1" showInputMessage="1" showErrorMessage="1" sqref="I2" xr:uid="{A12C50BB-FC44-4C57-BB7F-2CB23377BD45}">
      <formula1>$O$6:$O$7</formula1>
    </dataValidation>
    <dataValidation type="list" allowBlank="1" showInputMessage="1" showErrorMessage="1" sqref="I5" xr:uid="{2629E192-ECB7-408F-8D44-76679B316D64}">
      <formula1>$O$5:$O$6</formula1>
    </dataValidation>
  </dataValidations>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2_Click">
                <anchor moveWithCells="1" sizeWithCells="1">
                  <from>
                    <xdr:col>9</xdr:col>
                    <xdr:colOff>22860</xdr:colOff>
                    <xdr:row>2</xdr:row>
                    <xdr:rowOff>190500</xdr:rowOff>
                  </from>
                  <to>
                    <xdr:col>10</xdr:col>
                    <xdr:colOff>601980</xdr:colOff>
                    <xdr:row>3</xdr:row>
                    <xdr:rowOff>373380</xdr:rowOff>
                  </to>
                </anchor>
              </controlPr>
            </control>
          </mc:Choice>
        </mc:AlternateContent>
        <mc:AlternateContent xmlns:mc="http://schemas.openxmlformats.org/markup-compatibility/2006">
          <mc:Choice Requires="x14">
            <control shapeId="1030" r:id="rId5" name="Option Button 6">
              <controlPr defaultSize="0" autoFill="0" autoLine="0" autoPict="0">
                <anchor moveWithCells="1">
                  <from>
                    <xdr:col>12</xdr:col>
                    <xdr:colOff>7620</xdr:colOff>
                    <xdr:row>1</xdr:row>
                    <xdr:rowOff>30480</xdr:rowOff>
                  </from>
                  <to>
                    <xdr:col>14</xdr:col>
                    <xdr:colOff>106680</xdr:colOff>
                    <xdr:row>2</xdr:row>
                    <xdr:rowOff>182880</xdr:rowOff>
                  </to>
                </anchor>
              </controlPr>
            </control>
          </mc:Choice>
        </mc:AlternateContent>
        <mc:AlternateContent xmlns:mc="http://schemas.openxmlformats.org/markup-compatibility/2006">
          <mc:Choice Requires="x14">
            <control shapeId="1031" r:id="rId6" name="Option Button 7">
              <controlPr defaultSize="0" autoFill="0" autoLine="0" autoPict="0">
                <anchor moveWithCells="1">
                  <from>
                    <xdr:col>12</xdr:col>
                    <xdr:colOff>30480</xdr:colOff>
                    <xdr:row>2</xdr:row>
                    <xdr:rowOff>144780</xdr:rowOff>
                  </from>
                  <to>
                    <xdr:col>13</xdr:col>
                    <xdr:colOff>510540</xdr:colOff>
                    <xdr:row>3</xdr:row>
                    <xdr:rowOff>236220</xdr:rowOff>
                  </to>
                </anchor>
              </controlPr>
            </control>
          </mc:Choice>
        </mc:AlternateContent>
        <mc:AlternateContent xmlns:mc="http://schemas.openxmlformats.org/markup-compatibility/2006">
          <mc:Choice Requires="x14">
            <control shapeId="1032" r:id="rId7" name="Option Button 8">
              <controlPr defaultSize="0" autoFill="0" autoLine="0" autoPict="0">
                <anchor moveWithCells="1">
                  <from>
                    <xdr:col>12</xdr:col>
                    <xdr:colOff>38100</xdr:colOff>
                    <xdr:row>3</xdr:row>
                    <xdr:rowOff>320040</xdr:rowOff>
                  </from>
                  <to>
                    <xdr:col>13</xdr:col>
                    <xdr:colOff>601980</xdr:colOff>
                    <xdr:row>5</xdr:row>
                    <xdr:rowOff>30480</xdr:rowOff>
                  </to>
                </anchor>
              </controlPr>
            </control>
          </mc:Choice>
        </mc:AlternateContent>
        <mc:AlternateContent xmlns:mc="http://schemas.openxmlformats.org/markup-compatibility/2006">
          <mc:Choice Requires="x14">
            <control shapeId="1033" r:id="rId8" name="Button 9">
              <controlPr defaultSize="0" print="0" autoFill="0" autoPict="0" macro="[0]!Button9_Click">
                <anchor moveWithCells="1" sizeWithCells="1">
                  <from>
                    <xdr:col>8</xdr:col>
                    <xdr:colOff>1417320</xdr:colOff>
                    <xdr:row>7</xdr:row>
                    <xdr:rowOff>0</xdr:rowOff>
                  </from>
                  <to>
                    <xdr:col>11</xdr:col>
                    <xdr:colOff>38100</xdr:colOff>
                    <xdr:row>8</xdr:row>
                    <xdr:rowOff>175260</xdr:rowOff>
                  </to>
                </anchor>
              </controlPr>
            </control>
          </mc:Choice>
        </mc:AlternateContent>
        <mc:AlternateContent xmlns:mc="http://schemas.openxmlformats.org/markup-compatibility/2006">
          <mc:Choice Requires="x14">
            <control shapeId="1034" r:id="rId9" name="Button 10">
              <controlPr defaultSize="0" print="0" autoFill="0" autoPict="0" macro="[0]!Button1_Click">
                <anchor moveWithCells="1" sizeWithCells="1">
                  <from>
                    <xdr:col>8</xdr:col>
                    <xdr:colOff>1424940</xdr:colOff>
                    <xdr:row>5</xdr:row>
                    <xdr:rowOff>68580</xdr:rowOff>
                  </from>
                  <to>
                    <xdr:col>11</xdr:col>
                    <xdr:colOff>0</xdr:colOff>
                    <xdr:row>6</xdr:row>
                    <xdr:rowOff>198120</xdr:rowOff>
                  </to>
                </anchor>
              </controlPr>
            </control>
          </mc:Choice>
        </mc:AlternateContent>
        <mc:AlternateContent xmlns:mc="http://schemas.openxmlformats.org/markup-compatibility/2006">
          <mc:Choice Requires="x14">
            <control shapeId="1039" r:id="rId10" name="Button 15">
              <controlPr defaultSize="0" print="0" autoFill="0" autoPict="0" macro="[0]!SCHEDULE86_Button2_Click">
                <anchor moveWithCells="1" sizeWithCells="1">
                  <from>
                    <xdr:col>9</xdr:col>
                    <xdr:colOff>7620</xdr:colOff>
                    <xdr:row>10</xdr:row>
                    <xdr:rowOff>91440</xdr:rowOff>
                  </from>
                  <to>
                    <xdr:col>11</xdr:col>
                    <xdr:colOff>15240</xdr:colOff>
                    <xdr:row>12</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F518F-3E51-4A08-B579-3AE9998B8C9F}">
  <sheetPr codeName="Sheet3"/>
  <dimension ref="B1:J16"/>
  <sheetViews>
    <sheetView showGridLines="0" zoomScale="37" zoomScaleNormal="47" workbookViewId="0">
      <selection activeCell="I27" sqref="I27"/>
    </sheetView>
  </sheetViews>
  <sheetFormatPr defaultRowHeight="14.4"/>
  <cols>
    <col min="3" max="3" width="48.44140625" bestFit="1" customWidth="1"/>
    <col min="4" max="4" width="52.33203125" bestFit="1" customWidth="1"/>
    <col min="5" max="5" width="51.77734375" customWidth="1"/>
    <col min="6" max="6" width="53.88671875" customWidth="1"/>
    <col min="7" max="7" width="62.21875" customWidth="1"/>
    <col min="8" max="8" width="57.77734375" bestFit="1" customWidth="1"/>
    <col min="9" max="9" width="48.88671875" bestFit="1" customWidth="1"/>
    <col min="10" max="10" width="70.88671875" bestFit="1" customWidth="1"/>
  </cols>
  <sheetData>
    <row r="1" spans="2:10" ht="159.6" customHeight="1">
      <c r="E1" s="172" t="s">
        <v>416</v>
      </c>
      <c r="F1" s="173"/>
      <c r="G1" s="173"/>
      <c r="H1" s="173"/>
    </row>
    <row r="4" spans="2:10" ht="15" thickBot="1">
      <c r="B4" s="4"/>
      <c r="C4" s="5">
        <v>0.42430555555555555</v>
      </c>
      <c r="D4" s="5">
        <v>0.46666666666666662</v>
      </c>
      <c r="E4" s="5">
        <v>0.50069444444444444</v>
      </c>
      <c r="F4" s="5">
        <v>4.3055555555555562E-2</v>
      </c>
      <c r="G4" s="5">
        <v>8.5416666666666655E-2</v>
      </c>
      <c r="H4" s="5">
        <v>0.1277777777777778</v>
      </c>
      <c r="I4" s="6">
        <v>0.17013888888888887</v>
      </c>
      <c r="J4" s="6">
        <v>0.21249999999999999</v>
      </c>
    </row>
    <row r="5" spans="2:10" ht="86.4" customHeight="1">
      <c r="B5" s="171" t="s">
        <v>61</v>
      </c>
      <c r="C5" s="7" t="s">
        <v>11</v>
      </c>
      <c r="D5" s="7" t="s">
        <v>13</v>
      </c>
      <c r="E5" s="7" t="s">
        <v>14</v>
      </c>
      <c r="F5" s="8" t="s">
        <v>16</v>
      </c>
      <c r="G5" s="7" t="s">
        <v>18</v>
      </c>
      <c r="H5" s="9" t="s">
        <v>20</v>
      </c>
      <c r="I5" s="7" t="s">
        <v>22</v>
      </c>
      <c r="J5" s="9" t="s">
        <v>24</v>
      </c>
    </row>
    <row r="6" spans="2:10" ht="15" thickBot="1">
      <c r="B6" s="171"/>
      <c r="C6" s="10" t="s">
        <v>12</v>
      </c>
      <c r="D6" s="11" t="s">
        <v>12</v>
      </c>
      <c r="E6" s="11" t="s">
        <v>15</v>
      </c>
      <c r="F6" s="12" t="s">
        <v>17</v>
      </c>
      <c r="G6" s="11" t="s">
        <v>19</v>
      </c>
      <c r="H6" s="13" t="s">
        <v>21</v>
      </c>
      <c r="I6" s="10" t="s">
        <v>23</v>
      </c>
      <c r="J6" s="13" t="s">
        <v>23</v>
      </c>
    </row>
    <row r="7" spans="2:10" ht="70.2" customHeight="1">
      <c r="B7" s="171" t="s">
        <v>62</v>
      </c>
      <c r="C7" s="11" t="s">
        <v>25</v>
      </c>
      <c r="D7" s="7" t="s">
        <v>26</v>
      </c>
      <c r="E7" s="7" t="s">
        <v>27</v>
      </c>
      <c r="F7" s="7" t="s">
        <v>28</v>
      </c>
      <c r="G7" s="7" t="s">
        <v>29</v>
      </c>
      <c r="H7" s="7" t="s">
        <v>30</v>
      </c>
      <c r="I7" s="14" t="s">
        <v>31</v>
      </c>
      <c r="J7" s="7" t="s">
        <v>32</v>
      </c>
    </row>
    <row r="8" spans="2:10" ht="15" thickBot="1">
      <c r="B8" s="171"/>
      <c r="C8" s="11" t="s">
        <v>23</v>
      </c>
      <c r="D8" s="10" t="s">
        <v>23</v>
      </c>
      <c r="E8" s="10" t="s">
        <v>23</v>
      </c>
      <c r="F8" s="10" t="s">
        <v>23</v>
      </c>
      <c r="G8" s="10" t="s">
        <v>23</v>
      </c>
      <c r="H8" s="10" t="s">
        <v>23</v>
      </c>
      <c r="I8" s="14" t="s">
        <v>23</v>
      </c>
      <c r="J8" s="10" t="s">
        <v>23</v>
      </c>
    </row>
    <row r="9" spans="2:10" ht="61.2" customHeight="1">
      <c r="B9" s="171" t="s">
        <v>63</v>
      </c>
      <c r="C9" s="7" t="s">
        <v>33</v>
      </c>
      <c r="D9" s="11" t="s">
        <v>33</v>
      </c>
      <c r="E9" s="11" t="s">
        <v>34</v>
      </c>
      <c r="F9" s="12" t="s">
        <v>34</v>
      </c>
      <c r="G9" s="11" t="s">
        <v>34</v>
      </c>
      <c r="H9" s="13" t="s">
        <v>35</v>
      </c>
      <c r="I9" s="7" t="s">
        <v>35</v>
      </c>
      <c r="J9" s="13" t="s">
        <v>36</v>
      </c>
    </row>
    <row r="10" spans="2:10" ht="15" thickBot="1">
      <c r="B10" s="171"/>
      <c r="C10" s="10" t="s">
        <v>23</v>
      </c>
      <c r="D10" s="11" t="s">
        <v>23</v>
      </c>
      <c r="E10" s="11" t="s">
        <v>23</v>
      </c>
      <c r="F10" s="12" t="s">
        <v>23</v>
      </c>
      <c r="G10" s="11" t="s">
        <v>23</v>
      </c>
      <c r="H10" s="13" t="s">
        <v>23</v>
      </c>
      <c r="I10" s="10" t="s">
        <v>23</v>
      </c>
      <c r="J10" s="13" t="s">
        <v>23</v>
      </c>
    </row>
    <row r="11" spans="2:10" ht="66" customHeight="1">
      <c r="B11" s="171" t="s">
        <v>64</v>
      </c>
      <c r="C11" s="11" t="s">
        <v>37</v>
      </c>
      <c r="D11" s="7" t="s">
        <v>39</v>
      </c>
      <c r="E11" s="7" t="s">
        <v>40</v>
      </c>
      <c r="F11" s="7" t="s">
        <v>41</v>
      </c>
      <c r="G11" s="7" t="s">
        <v>42</v>
      </c>
      <c r="H11" s="7" t="s">
        <v>42</v>
      </c>
      <c r="I11" s="14" t="s">
        <v>43</v>
      </c>
      <c r="J11" s="7" t="s">
        <v>44</v>
      </c>
    </row>
    <row r="12" spans="2:10" ht="15" thickBot="1">
      <c r="B12" s="171"/>
      <c r="C12" s="11" t="s">
        <v>38</v>
      </c>
      <c r="D12" s="10" t="s">
        <v>38</v>
      </c>
      <c r="E12" s="10" t="s">
        <v>38</v>
      </c>
      <c r="F12" s="10" t="s">
        <v>38</v>
      </c>
      <c r="G12" s="10" t="s">
        <v>38</v>
      </c>
      <c r="H12" s="10" t="s">
        <v>38</v>
      </c>
      <c r="I12" s="14" t="s">
        <v>38</v>
      </c>
      <c r="J12" s="10" t="s">
        <v>45</v>
      </c>
    </row>
    <row r="13" spans="2:10" ht="70.2" customHeight="1">
      <c r="B13" s="171" t="s">
        <v>65</v>
      </c>
      <c r="C13" s="7" t="s">
        <v>46</v>
      </c>
      <c r="D13" s="11" t="s">
        <v>47</v>
      </c>
      <c r="E13" s="11" t="s">
        <v>58</v>
      </c>
      <c r="F13" s="12"/>
      <c r="G13" s="11"/>
      <c r="H13" s="13"/>
      <c r="I13" s="7"/>
      <c r="J13" s="13"/>
    </row>
    <row r="14" spans="2:10" ht="15" thickBot="1">
      <c r="B14" s="171"/>
      <c r="C14" s="10" t="s">
        <v>45</v>
      </c>
      <c r="D14" s="11" t="s">
        <v>45</v>
      </c>
      <c r="E14" s="11" t="s">
        <v>48</v>
      </c>
      <c r="F14" s="12" t="s">
        <v>419</v>
      </c>
      <c r="G14" s="11" t="s">
        <v>419</v>
      </c>
      <c r="H14" s="13" t="s">
        <v>419</v>
      </c>
      <c r="I14" s="10" t="s">
        <v>419</v>
      </c>
      <c r="J14" s="13" t="s">
        <v>419</v>
      </c>
    </row>
    <row r="15" spans="2:10" ht="87" customHeight="1">
      <c r="B15" s="171" t="s">
        <v>66</v>
      </c>
      <c r="C15" s="11"/>
      <c r="D15" s="7"/>
      <c r="E15" s="7"/>
      <c r="F15" s="7"/>
      <c r="G15" s="7"/>
      <c r="H15" s="7"/>
      <c r="I15" s="14"/>
      <c r="J15" s="7"/>
    </row>
    <row r="16" spans="2:10" ht="15" thickBot="1">
      <c r="B16" s="171"/>
      <c r="C16" s="10" t="s">
        <v>419</v>
      </c>
      <c r="D16" s="10" t="s">
        <v>419</v>
      </c>
      <c r="E16" s="10" t="s">
        <v>419</v>
      </c>
      <c r="F16" s="10" t="s">
        <v>419</v>
      </c>
      <c r="G16" s="10" t="s">
        <v>419</v>
      </c>
      <c r="H16" s="10" t="s">
        <v>419</v>
      </c>
      <c r="I16" s="15" t="s">
        <v>419</v>
      </c>
      <c r="J16" s="10" t="s">
        <v>419</v>
      </c>
    </row>
  </sheetData>
  <sheetProtection formatCells="0" formatColumns="0" formatRows="0" insertColumns="0" insertRows="0" insertHyperlinks="0" deleteColumns="0" deleteRows="0" sort="0" autoFilter="0" pivotTables="0"/>
  <mergeCells count="7">
    <mergeCell ref="B15:B16"/>
    <mergeCell ref="B13:B14"/>
    <mergeCell ref="E1:H1"/>
    <mergeCell ref="B5:B6"/>
    <mergeCell ref="B7:B8"/>
    <mergeCell ref="B9:B10"/>
    <mergeCell ref="B11:B12"/>
  </mergeCells>
  <phoneticPr fontId="1" type="noConversion"/>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CHEDULE86_Button2_Click">
                <anchor moveWithCells="1" sizeWithCells="1">
                  <from>
                    <xdr:col>9</xdr:col>
                    <xdr:colOff>777240</xdr:colOff>
                    <xdr:row>0</xdr:row>
                    <xdr:rowOff>762000</xdr:rowOff>
                  </from>
                  <to>
                    <xdr:col>10</xdr:col>
                    <xdr:colOff>167640</xdr:colOff>
                    <xdr:row>0</xdr:row>
                    <xdr:rowOff>1371600</xdr:rowOff>
                  </to>
                </anchor>
              </controlPr>
            </control>
          </mc:Choice>
        </mc:AlternateContent>
        <mc:AlternateContent xmlns:mc="http://schemas.openxmlformats.org/markup-compatibility/2006">
          <mc:Choice Requires="x14">
            <control shapeId="4099" r:id="rId5" name="Button 3">
              <controlPr defaultSize="0" print="0" autoFill="0" autoPict="0" macro="[0]!SCHEDULE86_Button2_Click">
                <anchor moveWithCells="1" sizeWithCells="1">
                  <from>
                    <xdr:col>2</xdr:col>
                    <xdr:colOff>777240</xdr:colOff>
                    <xdr:row>0</xdr:row>
                    <xdr:rowOff>762000</xdr:rowOff>
                  </from>
                  <to>
                    <xdr:col>3</xdr:col>
                    <xdr:colOff>1706880</xdr:colOff>
                    <xdr:row>0</xdr:row>
                    <xdr:rowOff>1371600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6ACFF-0712-4EE6-968C-58E94CBE3B78}">
  <sheetPr codeName="Sheet4"/>
  <dimension ref="B1:L17"/>
  <sheetViews>
    <sheetView showGridLines="0" zoomScale="37" workbookViewId="0">
      <selection activeCell="C1" sqref="C1:H1"/>
    </sheetView>
  </sheetViews>
  <sheetFormatPr defaultRowHeight="14.4"/>
  <cols>
    <col min="3" max="3" width="48.44140625" bestFit="1" customWidth="1"/>
    <col min="4" max="4" width="52.33203125" bestFit="1" customWidth="1"/>
    <col min="5" max="5" width="51.77734375" customWidth="1"/>
    <col min="6" max="6" width="53.88671875" customWidth="1"/>
    <col min="7" max="7" width="62.21875" customWidth="1"/>
    <col min="8" max="8" width="57.77734375" bestFit="1" customWidth="1"/>
    <col min="9" max="9" width="48.88671875" bestFit="1" customWidth="1"/>
    <col min="10" max="10" width="70.88671875" bestFit="1" customWidth="1"/>
  </cols>
  <sheetData>
    <row r="1" spans="2:12" ht="159.6" customHeight="1">
      <c r="C1" s="172" t="s">
        <v>416</v>
      </c>
      <c r="D1" s="172"/>
      <c r="E1" s="172"/>
      <c r="F1" s="172"/>
      <c r="G1" s="172"/>
      <c r="H1" s="172"/>
    </row>
    <row r="2" spans="2:12">
      <c r="I2" s="82"/>
      <c r="J2" s="82"/>
      <c r="K2" s="82"/>
      <c r="L2" s="82"/>
    </row>
    <row r="3" spans="2:12">
      <c r="I3" s="82"/>
      <c r="J3" s="82"/>
      <c r="K3" s="82"/>
      <c r="L3" s="82"/>
    </row>
    <row r="4" spans="2:12" ht="15" thickBot="1">
      <c r="B4" s="4"/>
      <c r="C4" s="5">
        <v>0.42430555555555555</v>
      </c>
      <c r="D4" s="5">
        <v>0.46666666666666662</v>
      </c>
      <c r="E4" s="5">
        <v>0.50069444444444444</v>
      </c>
      <c r="F4" s="5">
        <v>4.3055555555555562E-2</v>
      </c>
      <c r="G4" s="5">
        <v>8.5416666666666655E-2</v>
      </c>
      <c r="H4" s="5">
        <v>0.1277777777777778</v>
      </c>
      <c r="I4" s="83"/>
      <c r="J4" s="83"/>
      <c r="K4" s="82"/>
      <c r="L4" s="82"/>
    </row>
    <row r="5" spans="2:12" ht="86.4" customHeight="1">
      <c r="B5" s="171" t="s">
        <v>61</v>
      </c>
      <c r="C5" s="7" t="s">
        <v>11</v>
      </c>
      <c r="D5" s="7" t="s">
        <v>13</v>
      </c>
      <c r="E5" s="7" t="s">
        <v>14</v>
      </c>
      <c r="F5" s="8" t="s">
        <v>16</v>
      </c>
      <c r="G5" s="7" t="s">
        <v>18</v>
      </c>
      <c r="H5" s="7" t="s">
        <v>20</v>
      </c>
      <c r="I5" s="12"/>
      <c r="J5" s="12"/>
      <c r="K5" s="82"/>
      <c r="L5" s="82"/>
    </row>
    <row r="6" spans="2:12" ht="15" thickBot="1">
      <c r="B6" s="171"/>
      <c r="C6" s="10" t="s">
        <v>12</v>
      </c>
      <c r="D6" s="11" t="s">
        <v>12</v>
      </c>
      <c r="E6" s="11" t="s">
        <v>15</v>
      </c>
      <c r="F6" s="12" t="s">
        <v>17</v>
      </c>
      <c r="G6" s="11" t="s">
        <v>19</v>
      </c>
      <c r="H6" s="11" t="s">
        <v>21</v>
      </c>
      <c r="I6" s="12"/>
      <c r="J6" s="12"/>
      <c r="K6" s="82"/>
      <c r="L6" s="82"/>
    </row>
    <row r="7" spans="2:12" ht="70.2" customHeight="1">
      <c r="B7" s="171" t="s">
        <v>62</v>
      </c>
      <c r="C7" s="11" t="s">
        <v>22</v>
      </c>
      <c r="D7" s="7" t="s">
        <v>24</v>
      </c>
      <c r="E7" s="7" t="s">
        <v>25</v>
      </c>
      <c r="F7" s="7" t="s">
        <v>26</v>
      </c>
      <c r="G7" s="7" t="s">
        <v>27</v>
      </c>
      <c r="H7" s="7" t="s">
        <v>28</v>
      </c>
      <c r="I7" s="12"/>
      <c r="J7" s="12"/>
      <c r="K7" s="82"/>
      <c r="L7" s="82"/>
    </row>
    <row r="8" spans="2:12" ht="15" thickBot="1">
      <c r="B8" s="171"/>
      <c r="C8" s="11" t="s">
        <v>23</v>
      </c>
      <c r="D8" s="10" t="s">
        <v>23</v>
      </c>
      <c r="E8" s="10" t="s">
        <v>23</v>
      </c>
      <c r="F8" s="10" t="s">
        <v>23</v>
      </c>
      <c r="G8" s="10" t="s">
        <v>23</v>
      </c>
      <c r="H8" s="10" t="s">
        <v>23</v>
      </c>
      <c r="I8" s="12"/>
      <c r="J8" s="12"/>
      <c r="K8" s="82"/>
      <c r="L8" s="82"/>
    </row>
    <row r="9" spans="2:12" ht="61.2" customHeight="1">
      <c r="B9" s="171" t="s">
        <v>63</v>
      </c>
      <c r="C9" s="7" t="s">
        <v>29</v>
      </c>
      <c r="D9" s="11" t="s">
        <v>30</v>
      </c>
      <c r="E9" s="11" t="s">
        <v>31</v>
      </c>
      <c r="F9" s="12" t="s">
        <v>32</v>
      </c>
      <c r="G9" s="11" t="s">
        <v>33</v>
      </c>
      <c r="H9" s="11" t="s">
        <v>33</v>
      </c>
      <c r="I9" s="12"/>
      <c r="J9" s="12"/>
      <c r="K9" s="82"/>
      <c r="L9" s="82"/>
    </row>
    <row r="10" spans="2:12" ht="15" thickBot="1">
      <c r="B10" s="171"/>
      <c r="C10" s="10" t="s">
        <v>23</v>
      </c>
      <c r="D10" s="11" t="s">
        <v>23</v>
      </c>
      <c r="E10" s="11" t="s">
        <v>23</v>
      </c>
      <c r="F10" s="12" t="s">
        <v>23</v>
      </c>
      <c r="G10" s="11" t="s">
        <v>23</v>
      </c>
      <c r="H10" s="11" t="s">
        <v>23</v>
      </c>
      <c r="I10" s="12"/>
      <c r="J10" s="12"/>
      <c r="K10" s="82"/>
      <c r="L10" s="82"/>
    </row>
    <row r="11" spans="2:12" ht="66" customHeight="1">
      <c r="B11" s="171" t="s">
        <v>64</v>
      </c>
      <c r="C11" s="11" t="s">
        <v>34</v>
      </c>
      <c r="D11" s="7" t="s">
        <v>34</v>
      </c>
      <c r="E11" s="7" t="s">
        <v>34</v>
      </c>
      <c r="F11" s="7" t="s">
        <v>35</v>
      </c>
      <c r="G11" s="7" t="s">
        <v>35</v>
      </c>
      <c r="H11" s="7" t="s">
        <v>36</v>
      </c>
      <c r="I11" s="12"/>
      <c r="J11" s="12"/>
      <c r="K11" s="82"/>
      <c r="L11" s="82"/>
    </row>
    <row r="12" spans="2:12" ht="15" thickBot="1">
      <c r="B12" s="171"/>
      <c r="C12" s="11" t="s">
        <v>23</v>
      </c>
      <c r="D12" s="10" t="s">
        <v>23</v>
      </c>
      <c r="E12" s="10" t="s">
        <v>23</v>
      </c>
      <c r="F12" s="10" t="s">
        <v>23</v>
      </c>
      <c r="G12" s="10" t="s">
        <v>23</v>
      </c>
      <c r="H12" s="10" t="s">
        <v>23</v>
      </c>
      <c r="I12" s="12"/>
      <c r="J12" s="12"/>
      <c r="K12" s="82"/>
      <c r="L12" s="82"/>
    </row>
    <row r="13" spans="2:12" ht="70.2" customHeight="1">
      <c r="B13" s="171" t="s">
        <v>65</v>
      </c>
      <c r="C13" s="7" t="s">
        <v>37</v>
      </c>
      <c r="D13" s="11" t="s">
        <v>39</v>
      </c>
      <c r="E13" s="11" t="s">
        <v>40</v>
      </c>
      <c r="F13" s="12" t="s">
        <v>41</v>
      </c>
      <c r="G13" s="11" t="s">
        <v>42</v>
      </c>
      <c r="H13" s="11" t="s">
        <v>42</v>
      </c>
      <c r="I13" s="12"/>
      <c r="J13" s="12"/>
      <c r="K13" s="82"/>
      <c r="L13" s="82"/>
    </row>
    <row r="14" spans="2:12" ht="15" thickBot="1">
      <c r="B14" s="171"/>
      <c r="C14" s="10" t="s">
        <v>38</v>
      </c>
      <c r="D14" s="11" t="s">
        <v>38</v>
      </c>
      <c r="E14" s="11" t="s">
        <v>38</v>
      </c>
      <c r="F14" s="12" t="s">
        <v>38</v>
      </c>
      <c r="G14" s="11" t="s">
        <v>38</v>
      </c>
      <c r="H14" s="11" t="s">
        <v>38</v>
      </c>
      <c r="I14" s="12"/>
      <c r="J14" s="12"/>
      <c r="K14" s="82"/>
      <c r="L14" s="82"/>
    </row>
    <row r="15" spans="2:12" ht="87" customHeight="1">
      <c r="B15" s="171" t="s">
        <v>66</v>
      </c>
      <c r="C15" s="11" t="s">
        <v>43</v>
      </c>
      <c r="D15" s="7" t="s">
        <v>44</v>
      </c>
      <c r="E15" s="7" t="s">
        <v>46</v>
      </c>
      <c r="F15" s="7" t="s">
        <v>47</v>
      </c>
      <c r="G15" s="7" t="s">
        <v>58</v>
      </c>
      <c r="H15" s="7" t="s">
        <v>58</v>
      </c>
      <c r="I15" s="12"/>
      <c r="J15" s="12"/>
      <c r="K15" s="82"/>
      <c r="L15" s="82"/>
    </row>
    <row r="16" spans="2:12" ht="15" thickBot="1">
      <c r="B16" s="171"/>
      <c r="C16" s="10" t="s">
        <v>38</v>
      </c>
      <c r="D16" s="10" t="s">
        <v>45</v>
      </c>
      <c r="E16" s="10" t="s">
        <v>45</v>
      </c>
      <c r="F16" s="10" t="s">
        <v>45</v>
      </c>
      <c r="G16" s="10" t="s">
        <v>417</v>
      </c>
      <c r="H16" s="10" t="s">
        <v>417</v>
      </c>
      <c r="I16" s="12"/>
      <c r="J16" s="12"/>
      <c r="K16" s="82"/>
      <c r="L16" s="82"/>
    </row>
    <row r="17" spans="9:12">
      <c r="I17" s="82"/>
      <c r="J17" s="82"/>
      <c r="K17" s="82"/>
      <c r="L17" s="82"/>
    </row>
  </sheetData>
  <mergeCells count="7">
    <mergeCell ref="B15:B16"/>
    <mergeCell ref="C1:H1"/>
    <mergeCell ref="B5:B6"/>
    <mergeCell ref="B7:B8"/>
    <mergeCell ref="B9:B10"/>
    <mergeCell ref="B11:B12"/>
    <mergeCell ref="B13:B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CHEDULE86_Button2_Click">
                <anchor moveWithCells="1" sizeWithCells="1">
                  <from>
                    <xdr:col>6</xdr:col>
                    <xdr:colOff>3977640</xdr:colOff>
                    <xdr:row>0</xdr:row>
                    <xdr:rowOff>167640</xdr:rowOff>
                  </from>
                  <to>
                    <xdr:col>7</xdr:col>
                    <xdr:colOff>3954780</xdr:colOff>
                    <xdr:row>0</xdr:row>
                    <xdr:rowOff>777240</xdr:rowOff>
                  </to>
                </anchor>
              </controlPr>
            </control>
          </mc:Choice>
        </mc:AlternateContent>
        <mc:AlternateContent xmlns:mc="http://schemas.openxmlformats.org/markup-compatibility/2006">
          <mc:Choice Requires="x14">
            <control shapeId="5122" r:id="rId4" name="Button 2">
              <controlPr defaultSize="0" print="0" autoFill="0" autoPict="0" macro="[0]!SCHEDULE86_Button2_Click">
                <anchor moveWithCells="1" sizeWithCells="1">
                  <from>
                    <xdr:col>2</xdr:col>
                    <xdr:colOff>777240</xdr:colOff>
                    <xdr:row>0</xdr:row>
                    <xdr:rowOff>762000</xdr:rowOff>
                  </from>
                  <to>
                    <xdr:col>3</xdr:col>
                    <xdr:colOff>1706880</xdr:colOff>
                    <xdr:row>0</xdr:row>
                    <xdr:rowOff>1371600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2F389-3B1D-49DB-9166-5DEB576FA591}">
  <sheetPr codeName="Sheet5"/>
  <dimension ref="B1:J18"/>
  <sheetViews>
    <sheetView showGridLines="0" zoomScale="51" workbookViewId="0">
      <selection activeCell="C1" sqref="C1:F1"/>
    </sheetView>
  </sheetViews>
  <sheetFormatPr defaultRowHeight="14.4"/>
  <cols>
    <col min="3" max="3" width="48.44140625" bestFit="1" customWidth="1"/>
    <col min="4" max="4" width="52.33203125" bestFit="1" customWidth="1"/>
    <col min="5" max="5" width="51.77734375" customWidth="1"/>
    <col min="6" max="6" width="53.88671875" customWidth="1"/>
    <col min="7" max="7" width="62.21875" customWidth="1"/>
    <col min="8" max="8" width="57.77734375" bestFit="1" customWidth="1"/>
    <col min="9" max="9" width="48.88671875" bestFit="1" customWidth="1"/>
    <col min="10" max="10" width="70.88671875" bestFit="1" customWidth="1"/>
  </cols>
  <sheetData>
    <row r="1" spans="2:10" ht="159.6" customHeight="1">
      <c r="C1" s="172" t="s">
        <v>416</v>
      </c>
      <c r="D1" s="172"/>
      <c r="E1" s="172"/>
      <c r="F1" s="172"/>
      <c r="G1" s="84"/>
      <c r="H1" s="84"/>
    </row>
    <row r="4" spans="2:10" ht="15" thickBot="1">
      <c r="B4" s="4"/>
      <c r="C4" s="5">
        <v>0.42430555555555555</v>
      </c>
      <c r="D4" s="5">
        <v>0.46666666666666662</v>
      </c>
      <c r="E4" s="5">
        <v>0.50069444444444444</v>
      </c>
      <c r="F4" s="5">
        <v>4.3055555555555562E-2</v>
      </c>
      <c r="G4" s="5"/>
      <c r="H4" s="5"/>
      <c r="I4" s="6"/>
      <c r="J4" s="6"/>
    </row>
    <row r="5" spans="2:10" ht="86.4" customHeight="1">
      <c r="B5" s="171" t="s">
        <v>61</v>
      </c>
      <c r="C5" s="7" t="s">
        <v>11</v>
      </c>
      <c r="D5" s="7" t="s">
        <v>13</v>
      </c>
      <c r="E5" s="7" t="s">
        <v>14</v>
      </c>
      <c r="F5" s="7" t="s">
        <v>16</v>
      </c>
      <c r="G5" s="12"/>
      <c r="H5" s="12"/>
      <c r="I5" s="12"/>
      <c r="J5" s="12"/>
    </row>
    <row r="6" spans="2:10" ht="15" thickBot="1">
      <c r="B6" s="171"/>
      <c r="C6" s="10" t="s">
        <v>12</v>
      </c>
      <c r="D6" s="11" t="s">
        <v>12</v>
      </c>
      <c r="E6" s="11" t="s">
        <v>15</v>
      </c>
      <c r="F6" s="11" t="s">
        <v>17</v>
      </c>
      <c r="G6" s="12"/>
      <c r="H6" s="12"/>
      <c r="I6" s="12"/>
      <c r="J6" s="12"/>
    </row>
    <row r="7" spans="2:10" ht="70.2" customHeight="1">
      <c r="B7" s="171" t="s">
        <v>62</v>
      </c>
      <c r="C7" s="11" t="s">
        <v>22</v>
      </c>
      <c r="D7" s="7" t="s">
        <v>24</v>
      </c>
      <c r="E7" s="7" t="s">
        <v>25</v>
      </c>
      <c r="F7" s="7" t="s">
        <v>26</v>
      </c>
      <c r="G7" s="12"/>
      <c r="H7" s="12"/>
      <c r="I7" s="12"/>
      <c r="J7" s="12"/>
    </row>
    <row r="8" spans="2:10" ht="15" thickBot="1">
      <c r="B8" s="171"/>
      <c r="C8" s="11" t="s">
        <v>23</v>
      </c>
      <c r="D8" s="10" t="s">
        <v>23</v>
      </c>
      <c r="E8" s="10" t="s">
        <v>23</v>
      </c>
      <c r="F8" s="10" t="s">
        <v>23</v>
      </c>
      <c r="G8" s="12"/>
      <c r="H8" s="12"/>
      <c r="I8" s="12"/>
      <c r="J8" s="12"/>
    </row>
    <row r="9" spans="2:10" ht="61.2" customHeight="1">
      <c r="B9" s="171" t="s">
        <v>63</v>
      </c>
      <c r="C9" s="7" t="s">
        <v>29</v>
      </c>
      <c r="D9" s="11" t="s">
        <v>30</v>
      </c>
      <c r="E9" s="11" t="s">
        <v>31</v>
      </c>
      <c r="F9" s="11" t="s">
        <v>32</v>
      </c>
      <c r="G9" s="12"/>
      <c r="H9" s="12"/>
      <c r="I9" s="12"/>
      <c r="J9" s="12"/>
    </row>
    <row r="10" spans="2:10" ht="15" thickBot="1">
      <c r="B10" s="171"/>
      <c r="C10" s="10" t="s">
        <v>23</v>
      </c>
      <c r="D10" s="11" t="s">
        <v>23</v>
      </c>
      <c r="E10" s="11" t="s">
        <v>23</v>
      </c>
      <c r="F10" s="11" t="s">
        <v>23</v>
      </c>
      <c r="G10" s="12"/>
      <c r="H10" s="12"/>
      <c r="I10" s="12"/>
      <c r="J10" s="12"/>
    </row>
    <row r="11" spans="2:10" ht="66" customHeight="1">
      <c r="B11" s="171" t="s">
        <v>64</v>
      </c>
      <c r="C11" s="11" t="s">
        <v>34</v>
      </c>
      <c r="D11" s="7" t="s">
        <v>34</v>
      </c>
      <c r="E11" s="7" t="s">
        <v>34</v>
      </c>
      <c r="F11" s="7" t="s">
        <v>35</v>
      </c>
      <c r="G11" s="12"/>
      <c r="H11" s="12"/>
      <c r="I11" s="12"/>
      <c r="J11" s="12"/>
    </row>
    <row r="12" spans="2:10" ht="15" thickBot="1">
      <c r="B12" s="171"/>
      <c r="C12" s="11" t="s">
        <v>23</v>
      </c>
      <c r="D12" s="10" t="s">
        <v>23</v>
      </c>
      <c r="E12" s="10" t="s">
        <v>23</v>
      </c>
      <c r="F12" s="10" t="s">
        <v>23</v>
      </c>
      <c r="G12" s="12"/>
      <c r="H12" s="12"/>
      <c r="I12" s="12"/>
      <c r="J12" s="12"/>
    </row>
    <row r="13" spans="2:10" ht="70.2" customHeight="1">
      <c r="B13" s="171" t="s">
        <v>65</v>
      </c>
      <c r="C13" s="7" t="s">
        <v>37</v>
      </c>
      <c r="D13" s="11" t="s">
        <v>39</v>
      </c>
      <c r="E13" s="11" t="s">
        <v>40</v>
      </c>
      <c r="F13" s="11" t="s">
        <v>41</v>
      </c>
      <c r="G13" s="12"/>
      <c r="H13" s="12"/>
      <c r="I13" s="12"/>
      <c r="J13" s="12"/>
    </row>
    <row r="14" spans="2:10" ht="15" thickBot="1">
      <c r="B14" s="171"/>
      <c r="C14" s="10" t="s">
        <v>38</v>
      </c>
      <c r="D14" s="11" t="s">
        <v>38</v>
      </c>
      <c r="E14" s="11" t="s">
        <v>38</v>
      </c>
      <c r="F14" s="11" t="s">
        <v>38</v>
      </c>
      <c r="G14" s="12"/>
      <c r="H14" s="12"/>
      <c r="I14" s="12"/>
      <c r="J14" s="12"/>
    </row>
    <row r="15" spans="2:10" ht="87" customHeight="1">
      <c r="B15" s="171" t="s">
        <v>66</v>
      </c>
      <c r="C15" s="11" t="s">
        <v>43</v>
      </c>
      <c r="D15" s="7" t="s">
        <v>44</v>
      </c>
      <c r="E15" s="7" t="s">
        <v>46</v>
      </c>
      <c r="F15" s="7" t="s">
        <v>47</v>
      </c>
      <c r="G15" s="12"/>
      <c r="H15" s="12"/>
      <c r="I15" s="12"/>
      <c r="J15" s="12"/>
    </row>
    <row r="16" spans="2:10" ht="15" thickBot="1">
      <c r="B16" s="171"/>
      <c r="C16" s="10" t="s">
        <v>38</v>
      </c>
      <c r="D16" s="10" t="s">
        <v>45</v>
      </c>
      <c r="E16" s="10" t="s">
        <v>45</v>
      </c>
      <c r="F16" s="10" t="s">
        <v>45</v>
      </c>
      <c r="G16" s="12"/>
      <c r="H16" s="12"/>
      <c r="I16" s="12"/>
      <c r="J16" s="12"/>
    </row>
    <row r="17" spans="7:10">
      <c r="G17" s="82"/>
      <c r="H17" s="82"/>
      <c r="I17" s="82"/>
      <c r="J17" s="82"/>
    </row>
    <row r="18" spans="7:10">
      <c r="G18" s="82"/>
      <c r="H18" s="82"/>
      <c r="I18" s="82"/>
      <c r="J18" s="82"/>
    </row>
  </sheetData>
  <mergeCells count="7">
    <mergeCell ref="B15:B16"/>
    <mergeCell ref="C1:F1"/>
    <mergeCell ref="B5:B6"/>
    <mergeCell ref="B7:B8"/>
    <mergeCell ref="B9:B10"/>
    <mergeCell ref="B11:B12"/>
    <mergeCell ref="B13:B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CHEDULE86_Button2_Click">
                <anchor moveWithCells="1" sizeWithCells="1">
                  <from>
                    <xdr:col>5</xdr:col>
                    <xdr:colOff>556260</xdr:colOff>
                    <xdr:row>0</xdr:row>
                    <xdr:rowOff>190500</xdr:rowOff>
                  </from>
                  <to>
                    <xdr:col>6</xdr:col>
                    <xdr:colOff>182880</xdr:colOff>
                    <xdr:row>0</xdr:row>
                    <xdr:rowOff>800100</xdr:rowOff>
                  </to>
                </anchor>
              </controlPr>
            </control>
          </mc:Choice>
        </mc:AlternateContent>
        <mc:AlternateContent xmlns:mc="http://schemas.openxmlformats.org/markup-compatibility/2006">
          <mc:Choice Requires="x14">
            <control shapeId="6146" r:id="rId4" name="Button 2">
              <controlPr defaultSize="0" print="0" autoFill="0" autoPict="0" macro="[0]!SCHEDULE86_Button2_Click">
                <anchor moveWithCells="1" sizeWithCells="1">
                  <from>
                    <xdr:col>0</xdr:col>
                    <xdr:colOff>373380</xdr:colOff>
                    <xdr:row>0</xdr:row>
                    <xdr:rowOff>281940</xdr:rowOff>
                  </from>
                  <to>
                    <xdr:col>3</xdr:col>
                    <xdr:colOff>76200</xdr:colOff>
                    <xdr:row>0</xdr:row>
                    <xdr:rowOff>891540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B9FED-97B6-4AFC-871E-A47A33CE7386}">
  <sheetPr codeName="Sheet6"/>
  <dimension ref="A1:J16"/>
  <sheetViews>
    <sheetView showGridLines="0" topLeftCell="B1" zoomScale="39" zoomScaleNormal="40" workbookViewId="0">
      <selection activeCell="E1" sqref="E1:H1"/>
    </sheetView>
  </sheetViews>
  <sheetFormatPr defaultRowHeight="14.4"/>
  <cols>
    <col min="3" max="3" width="48.44140625" bestFit="1" customWidth="1"/>
    <col min="4" max="4" width="52.33203125" bestFit="1" customWidth="1"/>
    <col min="5" max="5" width="51.77734375" customWidth="1"/>
    <col min="6" max="6" width="53.88671875" customWidth="1"/>
    <col min="7" max="7" width="62.21875" customWidth="1"/>
    <col min="8" max="8" width="57.77734375" bestFit="1" customWidth="1"/>
    <col min="9" max="9" width="48.88671875" bestFit="1" customWidth="1"/>
    <col min="10" max="10" width="70.88671875" bestFit="1" customWidth="1"/>
  </cols>
  <sheetData>
    <row r="1" spans="1:10" ht="159.6" customHeight="1">
      <c r="E1" s="172" t="s">
        <v>416</v>
      </c>
      <c r="F1" s="173"/>
      <c r="G1" s="173"/>
      <c r="H1" s="173"/>
    </row>
    <row r="4" spans="1:10" ht="15" thickBot="1">
      <c r="B4" s="4"/>
      <c r="C4" s="5">
        <v>0.42430555555555555</v>
      </c>
      <c r="D4" s="5">
        <v>0.46666666666666662</v>
      </c>
      <c r="E4" s="5">
        <v>0.50069444444444444</v>
      </c>
      <c r="F4" s="5">
        <v>4.3055555555555562E-2</v>
      </c>
      <c r="G4" s="5">
        <v>8.5416666666666655E-2</v>
      </c>
      <c r="H4" s="5">
        <v>0.1277777777777778</v>
      </c>
      <c r="I4" s="6">
        <v>0.17013888888888887</v>
      </c>
      <c r="J4" s="6">
        <v>0.21249999999999999</v>
      </c>
    </row>
    <row r="5" spans="1:10" ht="86.4" customHeight="1">
      <c r="B5" s="171" t="s">
        <v>61</v>
      </c>
      <c r="C5" s="7" t="s">
        <v>11</v>
      </c>
      <c r="D5" s="7" t="s">
        <v>13</v>
      </c>
      <c r="E5" s="7" t="s">
        <v>14</v>
      </c>
      <c r="F5" s="8" t="s">
        <v>16</v>
      </c>
      <c r="G5" s="7" t="s">
        <v>18</v>
      </c>
      <c r="H5" s="9" t="s">
        <v>20</v>
      </c>
      <c r="I5" s="7" t="s">
        <v>22</v>
      </c>
      <c r="J5" s="9" t="s">
        <v>24</v>
      </c>
    </row>
    <row r="6" spans="1:10" ht="15" thickBot="1">
      <c r="B6" s="171"/>
      <c r="C6" s="10" t="s">
        <v>12</v>
      </c>
      <c r="D6" s="11" t="s">
        <v>12</v>
      </c>
      <c r="E6" s="11" t="s">
        <v>15</v>
      </c>
      <c r="F6" s="12" t="s">
        <v>17</v>
      </c>
      <c r="G6" s="11" t="s">
        <v>19</v>
      </c>
      <c r="H6" s="81" t="s">
        <v>21</v>
      </c>
      <c r="I6" s="10" t="s">
        <v>23</v>
      </c>
      <c r="J6" s="81" t="s">
        <v>23</v>
      </c>
    </row>
    <row r="7" spans="1:10" ht="70.2" customHeight="1">
      <c r="B7" s="171" t="s">
        <v>62</v>
      </c>
      <c r="C7" s="11" t="s">
        <v>25</v>
      </c>
      <c r="D7" s="7" t="s">
        <v>26</v>
      </c>
      <c r="E7" s="7" t="s">
        <v>27</v>
      </c>
      <c r="F7" s="7" t="s">
        <v>28</v>
      </c>
      <c r="G7" s="7" t="s">
        <v>29</v>
      </c>
      <c r="H7" s="7" t="s">
        <v>30</v>
      </c>
      <c r="I7" s="14" t="s">
        <v>31</v>
      </c>
      <c r="J7" s="7" t="s">
        <v>32</v>
      </c>
    </row>
    <row r="8" spans="1:10" ht="15" thickBot="1">
      <c r="B8" s="171"/>
      <c r="C8" s="11" t="s">
        <v>23</v>
      </c>
      <c r="D8" s="10" t="s">
        <v>23</v>
      </c>
      <c r="E8" s="10" t="s">
        <v>23</v>
      </c>
      <c r="F8" s="10" t="s">
        <v>23</v>
      </c>
      <c r="G8" s="10" t="s">
        <v>23</v>
      </c>
      <c r="H8" s="10" t="s">
        <v>23</v>
      </c>
      <c r="I8" s="14" t="s">
        <v>23</v>
      </c>
      <c r="J8" s="10" t="s">
        <v>23</v>
      </c>
    </row>
    <row r="9" spans="1:10" ht="61.2" customHeight="1">
      <c r="B9" s="171" t="s">
        <v>63</v>
      </c>
      <c r="C9" s="7" t="s">
        <v>33</v>
      </c>
      <c r="D9" s="11" t="s">
        <v>33</v>
      </c>
      <c r="E9" s="11" t="s">
        <v>34</v>
      </c>
      <c r="F9" s="12" t="s">
        <v>34</v>
      </c>
      <c r="G9" s="11" t="s">
        <v>34</v>
      </c>
      <c r="H9" s="81" t="s">
        <v>35</v>
      </c>
      <c r="I9" s="7" t="s">
        <v>35</v>
      </c>
      <c r="J9" s="81" t="s">
        <v>36</v>
      </c>
    </row>
    <row r="10" spans="1:10" ht="15" thickBot="1">
      <c r="B10" s="171"/>
      <c r="C10" s="10" t="s">
        <v>23</v>
      </c>
      <c r="D10" s="11" t="s">
        <v>23</v>
      </c>
      <c r="E10" s="11" t="s">
        <v>23</v>
      </c>
      <c r="F10" s="12" t="s">
        <v>23</v>
      </c>
      <c r="G10" s="11" t="s">
        <v>23</v>
      </c>
      <c r="H10" s="81" t="s">
        <v>23</v>
      </c>
      <c r="I10" s="10" t="s">
        <v>23</v>
      </c>
      <c r="J10" s="81" t="s">
        <v>23</v>
      </c>
    </row>
    <row r="11" spans="1:10" ht="66" customHeight="1">
      <c r="B11" s="171" t="s">
        <v>64</v>
      </c>
      <c r="C11" s="11" t="s">
        <v>37</v>
      </c>
      <c r="D11" s="7" t="s">
        <v>39</v>
      </c>
      <c r="E11" s="7" t="s">
        <v>40</v>
      </c>
      <c r="F11" s="7" t="s">
        <v>41</v>
      </c>
      <c r="G11" s="7" t="s">
        <v>42</v>
      </c>
      <c r="H11" s="7" t="s">
        <v>42</v>
      </c>
      <c r="I11" s="14" t="s">
        <v>43</v>
      </c>
      <c r="J11" s="7" t="s">
        <v>44</v>
      </c>
    </row>
    <row r="12" spans="1:10" ht="15" thickBot="1">
      <c r="B12" s="171"/>
      <c r="C12" s="11" t="s">
        <v>38</v>
      </c>
      <c r="D12" s="10" t="s">
        <v>38</v>
      </c>
      <c r="E12" s="10" t="s">
        <v>38</v>
      </c>
      <c r="F12" s="10" t="s">
        <v>38</v>
      </c>
      <c r="G12" s="10" t="s">
        <v>38</v>
      </c>
      <c r="H12" s="10" t="s">
        <v>38</v>
      </c>
      <c r="I12" s="14" t="s">
        <v>38</v>
      </c>
      <c r="J12" s="10" t="s">
        <v>45</v>
      </c>
    </row>
    <row r="13" spans="1:10" ht="70.2" customHeight="1">
      <c r="B13" s="171" t="s">
        <v>65</v>
      </c>
      <c r="C13" s="7" t="s">
        <v>46</v>
      </c>
      <c r="D13" s="11" t="s">
        <v>47</v>
      </c>
      <c r="E13" s="11" t="s">
        <v>58</v>
      </c>
      <c r="F13" s="12" t="s">
        <v>58</v>
      </c>
      <c r="G13" s="11" t="s">
        <v>59</v>
      </c>
      <c r="H13" s="81" t="s">
        <v>59</v>
      </c>
      <c r="I13" s="7" t="s">
        <v>60</v>
      </c>
      <c r="J13" s="81" t="s">
        <v>60</v>
      </c>
    </row>
    <row r="14" spans="1:10" ht="15" thickBot="1">
      <c r="B14" s="171"/>
      <c r="C14" s="11" t="s">
        <v>45</v>
      </c>
      <c r="D14" s="11" t="s">
        <v>45</v>
      </c>
      <c r="E14" s="11" t="s">
        <v>417</v>
      </c>
      <c r="F14" s="12" t="s">
        <v>417</v>
      </c>
      <c r="G14" s="11" t="s">
        <v>51</v>
      </c>
      <c r="H14" s="81" t="s">
        <v>51</v>
      </c>
      <c r="I14" s="11" t="s">
        <v>51</v>
      </c>
      <c r="J14" s="81" t="s">
        <v>51</v>
      </c>
    </row>
    <row r="15" spans="1:10" ht="87" customHeight="1">
      <c r="A15" s="82"/>
      <c r="B15" s="174"/>
      <c r="C15" s="8"/>
      <c r="D15" s="8"/>
      <c r="E15" s="8"/>
      <c r="F15" s="8"/>
      <c r="G15" s="8"/>
      <c r="H15" s="8"/>
      <c r="I15" s="8"/>
      <c r="J15" s="8"/>
    </row>
    <row r="16" spans="1:10">
      <c r="A16" s="82"/>
      <c r="B16" s="174"/>
      <c r="C16" s="12"/>
      <c r="D16" s="12"/>
      <c r="E16" s="12"/>
      <c r="F16" s="12"/>
      <c r="G16" s="12"/>
      <c r="H16" s="12"/>
      <c r="I16" s="12"/>
      <c r="J16" s="12"/>
    </row>
  </sheetData>
  <mergeCells count="7">
    <mergeCell ref="B15:B16"/>
    <mergeCell ref="E1:H1"/>
    <mergeCell ref="B5:B6"/>
    <mergeCell ref="B7:B8"/>
    <mergeCell ref="B9:B10"/>
    <mergeCell ref="B11:B12"/>
    <mergeCell ref="B13:B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CHEDULE86_Button2_Click">
                <anchor moveWithCells="1" sizeWithCells="1">
                  <from>
                    <xdr:col>9</xdr:col>
                    <xdr:colOff>548640</xdr:colOff>
                    <xdr:row>0</xdr:row>
                    <xdr:rowOff>647700</xdr:rowOff>
                  </from>
                  <to>
                    <xdr:col>9</xdr:col>
                    <xdr:colOff>4800600</xdr:colOff>
                    <xdr:row>0</xdr:row>
                    <xdr:rowOff>1257300</xdr:rowOff>
                  </to>
                </anchor>
              </controlPr>
            </control>
          </mc:Choice>
        </mc:AlternateContent>
        <mc:AlternateContent xmlns:mc="http://schemas.openxmlformats.org/markup-compatibility/2006">
          <mc:Choice Requires="x14">
            <control shapeId="7170" r:id="rId4" name="Button 2">
              <controlPr defaultSize="0" print="0" autoFill="0" autoPict="0" macro="[0]!SCHEDULE86_Button2_Click">
                <anchor moveWithCells="1" sizeWithCells="1">
                  <from>
                    <xdr:col>2</xdr:col>
                    <xdr:colOff>777240</xdr:colOff>
                    <xdr:row>0</xdr:row>
                    <xdr:rowOff>762000</xdr:rowOff>
                  </from>
                  <to>
                    <xdr:col>3</xdr:col>
                    <xdr:colOff>1706880</xdr:colOff>
                    <xdr:row>0</xdr:row>
                    <xdr:rowOff>1371600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0D1D2-45DD-4EEF-8A8A-CEA67B709E44}">
  <sheetPr codeName="Sheet7"/>
  <dimension ref="B1:L17"/>
  <sheetViews>
    <sheetView showGridLines="0" tabSelected="1" zoomScale="48" zoomScaleNormal="43" workbookViewId="0">
      <selection activeCell="C1" sqref="C1:H1"/>
    </sheetView>
  </sheetViews>
  <sheetFormatPr defaultRowHeight="14.4"/>
  <cols>
    <col min="3" max="3" width="48.44140625" bestFit="1" customWidth="1"/>
    <col min="4" max="4" width="52.33203125" bestFit="1" customWidth="1"/>
    <col min="5" max="5" width="51.77734375" customWidth="1"/>
    <col min="6" max="6" width="53.88671875" customWidth="1"/>
    <col min="7" max="7" width="62.21875" customWidth="1"/>
    <col min="8" max="8" width="57.77734375" bestFit="1" customWidth="1"/>
    <col min="9" max="9" width="48.88671875" bestFit="1" customWidth="1"/>
    <col min="10" max="10" width="70.88671875" bestFit="1" customWidth="1"/>
  </cols>
  <sheetData>
    <row r="1" spans="2:12" ht="159.6" customHeight="1">
      <c r="C1" s="172" t="s">
        <v>416</v>
      </c>
      <c r="D1" s="172"/>
      <c r="E1" s="172"/>
      <c r="F1" s="172"/>
      <c r="G1" s="172"/>
      <c r="H1" s="172"/>
    </row>
    <row r="2" spans="2:12">
      <c r="I2" s="82"/>
      <c r="J2" s="82"/>
      <c r="K2" s="82"/>
      <c r="L2" s="82"/>
    </row>
    <row r="3" spans="2:12">
      <c r="I3" s="82"/>
      <c r="J3" s="82"/>
      <c r="K3" s="82"/>
      <c r="L3" s="82"/>
    </row>
    <row r="4" spans="2:12" ht="15" thickBot="1">
      <c r="B4" s="4"/>
      <c r="C4" s="5">
        <v>0.42430555555555555</v>
      </c>
      <c r="D4" s="5">
        <v>0.46666666666666662</v>
      </c>
      <c r="E4" s="5">
        <v>0.50069444444444444</v>
      </c>
      <c r="F4" s="5">
        <v>4.3055555555555562E-2</v>
      </c>
      <c r="G4" s="5">
        <v>8.5416666666666655E-2</v>
      </c>
      <c r="H4" s="5">
        <v>0.1277777777777778</v>
      </c>
      <c r="I4" s="83"/>
      <c r="J4" s="83"/>
      <c r="K4" s="82"/>
      <c r="L4" s="82"/>
    </row>
    <row r="5" spans="2:12" ht="86.4" customHeight="1">
      <c r="B5" s="171" t="s">
        <v>61</v>
      </c>
      <c r="C5" s="7" t="s">
        <v>11</v>
      </c>
      <c r="D5" s="7" t="s">
        <v>13</v>
      </c>
      <c r="E5" s="7" t="s">
        <v>14</v>
      </c>
      <c r="F5" s="8" t="s">
        <v>16</v>
      </c>
      <c r="G5" s="7" t="s">
        <v>18</v>
      </c>
      <c r="H5" s="7" t="s">
        <v>20</v>
      </c>
      <c r="I5" s="12"/>
      <c r="J5" s="12"/>
      <c r="K5" s="82"/>
      <c r="L5" s="82"/>
    </row>
    <row r="6" spans="2:12" ht="15" thickBot="1">
      <c r="B6" s="171"/>
      <c r="C6" s="10" t="s">
        <v>12</v>
      </c>
      <c r="D6" s="11" t="s">
        <v>12</v>
      </c>
      <c r="E6" s="11" t="s">
        <v>15</v>
      </c>
      <c r="F6" s="12" t="s">
        <v>17</v>
      </c>
      <c r="G6" s="11" t="s">
        <v>19</v>
      </c>
      <c r="H6" s="11" t="s">
        <v>21</v>
      </c>
      <c r="I6" s="12"/>
      <c r="J6" s="12"/>
      <c r="K6" s="82"/>
      <c r="L6" s="82"/>
    </row>
    <row r="7" spans="2:12" ht="70.2" customHeight="1">
      <c r="B7" s="171" t="s">
        <v>62</v>
      </c>
      <c r="C7" s="11" t="s">
        <v>22</v>
      </c>
      <c r="D7" s="7" t="s">
        <v>24</v>
      </c>
      <c r="E7" s="7" t="s">
        <v>25</v>
      </c>
      <c r="F7" s="7" t="s">
        <v>26</v>
      </c>
      <c r="G7" s="7" t="s">
        <v>27</v>
      </c>
      <c r="H7" s="7" t="s">
        <v>28</v>
      </c>
      <c r="I7" s="12"/>
      <c r="J7" s="12"/>
      <c r="K7" s="82"/>
      <c r="L7" s="82"/>
    </row>
    <row r="8" spans="2:12" ht="15" thickBot="1">
      <c r="B8" s="171"/>
      <c r="C8" s="11" t="s">
        <v>23</v>
      </c>
      <c r="D8" s="10" t="s">
        <v>23</v>
      </c>
      <c r="E8" s="10" t="s">
        <v>23</v>
      </c>
      <c r="F8" s="10" t="s">
        <v>23</v>
      </c>
      <c r="G8" s="10" t="s">
        <v>23</v>
      </c>
      <c r="H8" s="10" t="s">
        <v>23</v>
      </c>
      <c r="I8" s="12"/>
      <c r="J8" s="12"/>
      <c r="K8" s="82"/>
      <c r="L8" s="82"/>
    </row>
    <row r="9" spans="2:12" ht="61.2" customHeight="1">
      <c r="B9" s="171" t="s">
        <v>63</v>
      </c>
      <c r="C9" s="7" t="s">
        <v>29</v>
      </c>
      <c r="D9" s="11" t="s">
        <v>30</v>
      </c>
      <c r="E9" s="11" t="s">
        <v>31</v>
      </c>
      <c r="F9" s="12" t="s">
        <v>32</v>
      </c>
      <c r="G9" s="11" t="s">
        <v>33</v>
      </c>
      <c r="H9" s="11" t="s">
        <v>33</v>
      </c>
      <c r="I9" s="12"/>
      <c r="J9" s="12"/>
      <c r="K9" s="82"/>
      <c r="L9" s="82"/>
    </row>
    <row r="10" spans="2:12" ht="15" thickBot="1">
      <c r="B10" s="171"/>
      <c r="C10" s="10" t="s">
        <v>23</v>
      </c>
      <c r="D10" s="11" t="s">
        <v>23</v>
      </c>
      <c r="E10" s="11" t="s">
        <v>23</v>
      </c>
      <c r="F10" s="12" t="s">
        <v>23</v>
      </c>
      <c r="G10" s="11" t="s">
        <v>23</v>
      </c>
      <c r="H10" s="11" t="s">
        <v>23</v>
      </c>
      <c r="I10" s="12"/>
      <c r="J10" s="12"/>
      <c r="K10" s="82"/>
      <c r="L10" s="82"/>
    </row>
    <row r="11" spans="2:12" ht="66" customHeight="1">
      <c r="B11" s="171" t="s">
        <v>64</v>
      </c>
      <c r="C11" s="11" t="s">
        <v>34</v>
      </c>
      <c r="D11" s="7" t="s">
        <v>34</v>
      </c>
      <c r="E11" s="7" t="s">
        <v>34</v>
      </c>
      <c r="F11" s="7" t="s">
        <v>35</v>
      </c>
      <c r="G11" s="7" t="s">
        <v>35</v>
      </c>
      <c r="H11" s="7" t="s">
        <v>36</v>
      </c>
      <c r="I11" s="12"/>
      <c r="J11" s="12"/>
      <c r="K11" s="82"/>
      <c r="L11" s="82"/>
    </row>
    <row r="12" spans="2:12" ht="15" thickBot="1">
      <c r="B12" s="171"/>
      <c r="C12" s="11" t="s">
        <v>23</v>
      </c>
      <c r="D12" s="10" t="s">
        <v>23</v>
      </c>
      <c r="E12" s="10" t="s">
        <v>23</v>
      </c>
      <c r="F12" s="10" t="s">
        <v>23</v>
      </c>
      <c r="G12" s="10" t="s">
        <v>23</v>
      </c>
      <c r="H12" s="10" t="s">
        <v>23</v>
      </c>
      <c r="I12" s="12"/>
      <c r="J12" s="12"/>
      <c r="K12" s="82"/>
      <c r="L12" s="82"/>
    </row>
    <row r="13" spans="2:12" ht="70.2" customHeight="1">
      <c r="B13" s="171" t="s">
        <v>65</v>
      </c>
      <c r="C13" s="7" t="s">
        <v>37</v>
      </c>
      <c r="D13" s="11" t="s">
        <v>39</v>
      </c>
      <c r="E13" s="11" t="s">
        <v>40</v>
      </c>
      <c r="F13" s="12" t="s">
        <v>41</v>
      </c>
      <c r="G13" s="11" t="s">
        <v>42</v>
      </c>
      <c r="H13" s="11" t="s">
        <v>42</v>
      </c>
      <c r="I13" s="12"/>
      <c r="J13" s="12"/>
      <c r="K13" s="82"/>
      <c r="L13" s="82"/>
    </row>
    <row r="14" spans="2:12" ht="15" thickBot="1">
      <c r="B14" s="171"/>
      <c r="C14" s="11" t="s">
        <v>38</v>
      </c>
      <c r="D14" s="11" t="s">
        <v>38</v>
      </c>
      <c r="E14" s="11" t="s">
        <v>38</v>
      </c>
      <c r="F14" s="12" t="s">
        <v>38</v>
      </c>
      <c r="G14" s="11" t="s">
        <v>38</v>
      </c>
      <c r="H14" s="11" t="s">
        <v>38</v>
      </c>
      <c r="I14" s="12"/>
      <c r="J14" s="12"/>
      <c r="K14" s="82"/>
      <c r="L14" s="82"/>
    </row>
    <row r="15" spans="2:12" ht="87" customHeight="1">
      <c r="B15" s="174"/>
      <c r="C15" s="8"/>
      <c r="D15" s="8"/>
      <c r="E15" s="8"/>
      <c r="F15" s="8"/>
      <c r="G15" s="8"/>
      <c r="H15" s="8"/>
      <c r="I15" s="12"/>
      <c r="J15" s="12"/>
      <c r="K15" s="82"/>
      <c r="L15" s="82"/>
    </row>
    <row r="16" spans="2:12">
      <c r="B16" s="174"/>
      <c r="C16" s="12"/>
      <c r="D16" s="12"/>
      <c r="E16" s="12"/>
      <c r="F16" s="12"/>
      <c r="G16" s="12"/>
      <c r="H16" s="12"/>
      <c r="I16" s="12"/>
      <c r="J16" s="12"/>
      <c r="K16" s="82"/>
      <c r="L16" s="82"/>
    </row>
    <row r="17" spans="9:12">
      <c r="I17" s="82"/>
      <c r="J17" s="82"/>
      <c r="K17" s="82"/>
      <c r="L17" s="82"/>
    </row>
  </sheetData>
  <mergeCells count="7">
    <mergeCell ref="B15:B16"/>
    <mergeCell ref="C1:H1"/>
    <mergeCell ref="B5:B6"/>
    <mergeCell ref="B7:B8"/>
    <mergeCell ref="B9:B10"/>
    <mergeCell ref="B11:B12"/>
    <mergeCell ref="B13:B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CHEDULE86_Button2_Click">
                <anchor moveWithCells="1" sizeWithCells="1">
                  <from>
                    <xdr:col>7</xdr:col>
                    <xdr:colOff>251460</xdr:colOff>
                    <xdr:row>0</xdr:row>
                    <xdr:rowOff>853440</xdr:rowOff>
                  </from>
                  <to>
                    <xdr:col>7</xdr:col>
                    <xdr:colOff>3954780</xdr:colOff>
                    <xdr:row>0</xdr:row>
                    <xdr:rowOff>1463040</xdr:rowOff>
                  </to>
                </anchor>
              </controlPr>
            </control>
          </mc:Choice>
        </mc:AlternateContent>
        <mc:AlternateContent xmlns:mc="http://schemas.openxmlformats.org/markup-compatibility/2006">
          <mc:Choice Requires="x14">
            <control shapeId="8194" r:id="rId4" name="Button 2">
              <controlPr defaultSize="0" print="0" autoFill="0" autoPict="0" macro="[0]!SCHEDULE86_Button2_Click">
                <anchor moveWithCells="1" sizeWithCells="1">
                  <from>
                    <xdr:col>2</xdr:col>
                    <xdr:colOff>777240</xdr:colOff>
                    <xdr:row>0</xdr:row>
                    <xdr:rowOff>762000</xdr:rowOff>
                  </from>
                  <to>
                    <xdr:col>3</xdr:col>
                    <xdr:colOff>1706880</xdr:colOff>
                    <xdr:row>0</xdr:row>
                    <xdr:rowOff>1371600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2810D-8141-4A4A-B46B-B197C697B2AA}">
  <sheetPr codeName="Sheet8"/>
  <dimension ref="B1:J18"/>
  <sheetViews>
    <sheetView showGridLines="0" zoomScale="81" zoomScaleNormal="40" workbookViewId="0">
      <selection activeCell="C1" sqref="C1:F1"/>
    </sheetView>
  </sheetViews>
  <sheetFormatPr defaultRowHeight="14.4"/>
  <cols>
    <col min="3" max="3" width="48.44140625" bestFit="1" customWidth="1"/>
    <col min="4" max="4" width="52.33203125" bestFit="1" customWidth="1"/>
    <col min="5" max="5" width="51.77734375" customWidth="1"/>
    <col min="6" max="6" width="53.88671875" customWidth="1"/>
    <col min="7" max="7" width="62.21875" customWidth="1"/>
    <col min="8" max="8" width="57.77734375" bestFit="1" customWidth="1"/>
    <col min="9" max="9" width="48.88671875" bestFit="1" customWidth="1"/>
    <col min="10" max="10" width="70.88671875" bestFit="1" customWidth="1"/>
  </cols>
  <sheetData>
    <row r="1" spans="2:10" ht="159.6" customHeight="1">
      <c r="C1" s="172" t="s">
        <v>416</v>
      </c>
      <c r="D1" s="172"/>
      <c r="E1" s="172"/>
      <c r="F1" s="172"/>
      <c r="G1" s="84"/>
      <c r="H1" s="84"/>
    </row>
    <row r="4" spans="2:10" ht="15" thickBot="1">
      <c r="B4" s="4"/>
      <c r="C4" s="5">
        <v>0.42430555555555555</v>
      </c>
      <c r="D4" s="5">
        <v>0.46666666666666662</v>
      </c>
      <c r="E4" s="5">
        <v>0.50069444444444444</v>
      </c>
      <c r="F4" s="5">
        <v>4.3055555555555562E-2</v>
      </c>
      <c r="G4" s="5"/>
      <c r="H4" s="5"/>
      <c r="I4" s="6"/>
      <c r="J4" s="6"/>
    </row>
    <row r="5" spans="2:10" ht="86.4" customHeight="1">
      <c r="B5" s="171" t="s">
        <v>61</v>
      </c>
      <c r="C5" s="7" t="s">
        <v>11</v>
      </c>
      <c r="D5" s="7" t="s">
        <v>13</v>
      </c>
      <c r="E5" s="7" t="s">
        <v>14</v>
      </c>
      <c r="F5" s="7" t="s">
        <v>16</v>
      </c>
      <c r="G5" s="12"/>
      <c r="H5" s="12"/>
      <c r="I5" s="12"/>
      <c r="J5" s="12"/>
    </row>
    <row r="6" spans="2:10" ht="15" thickBot="1">
      <c r="B6" s="171"/>
      <c r="C6" s="10" t="s">
        <v>12</v>
      </c>
      <c r="D6" s="11" t="s">
        <v>12</v>
      </c>
      <c r="E6" s="11" t="s">
        <v>15</v>
      </c>
      <c r="F6" s="11" t="s">
        <v>17</v>
      </c>
      <c r="G6" s="12"/>
      <c r="H6" s="12"/>
      <c r="I6" s="12"/>
      <c r="J6" s="12"/>
    </row>
    <row r="7" spans="2:10" ht="70.2" customHeight="1">
      <c r="B7" s="171" t="s">
        <v>62</v>
      </c>
      <c r="C7" s="11" t="s">
        <v>22</v>
      </c>
      <c r="D7" s="7" t="s">
        <v>24</v>
      </c>
      <c r="E7" s="7" t="s">
        <v>25</v>
      </c>
      <c r="F7" s="7" t="s">
        <v>26</v>
      </c>
      <c r="G7" s="12"/>
      <c r="H7" s="12"/>
      <c r="I7" s="12"/>
      <c r="J7" s="12"/>
    </row>
    <row r="8" spans="2:10" ht="15" thickBot="1">
      <c r="B8" s="171"/>
      <c r="C8" s="11" t="s">
        <v>23</v>
      </c>
      <c r="D8" s="10" t="s">
        <v>23</v>
      </c>
      <c r="E8" s="10" t="s">
        <v>23</v>
      </c>
      <c r="F8" s="10" t="s">
        <v>23</v>
      </c>
      <c r="G8" s="12"/>
      <c r="H8" s="12"/>
      <c r="I8" s="12"/>
      <c r="J8" s="12"/>
    </row>
    <row r="9" spans="2:10" ht="61.2" customHeight="1">
      <c r="B9" s="171" t="s">
        <v>63</v>
      </c>
      <c r="C9" s="7" t="s">
        <v>29</v>
      </c>
      <c r="D9" s="11" t="s">
        <v>30</v>
      </c>
      <c r="E9" s="11" t="s">
        <v>31</v>
      </c>
      <c r="F9" s="11" t="s">
        <v>32</v>
      </c>
      <c r="G9" s="12"/>
      <c r="H9" s="12"/>
      <c r="I9" s="12"/>
      <c r="J9" s="12"/>
    </row>
    <row r="10" spans="2:10" ht="15" thickBot="1">
      <c r="B10" s="171"/>
      <c r="C10" s="10" t="s">
        <v>23</v>
      </c>
      <c r="D10" s="11" t="s">
        <v>23</v>
      </c>
      <c r="E10" s="11" t="s">
        <v>23</v>
      </c>
      <c r="F10" s="11" t="s">
        <v>23</v>
      </c>
      <c r="G10" s="12"/>
      <c r="H10" s="12"/>
      <c r="I10" s="12"/>
      <c r="J10" s="12"/>
    </row>
    <row r="11" spans="2:10" ht="66" customHeight="1">
      <c r="B11" s="171" t="s">
        <v>64</v>
      </c>
      <c r="C11" s="11" t="s">
        <v>34</v>
      </c>
      <c r="D11" s="7" t="s">
        <v>34</v>
      </c>
      <c r="E11" s="7" t="s">
        <v>34</v>
      </c>
      <c r="F11" s="7" t="s">
        <v>35</v>
      </c>
      <c r="G11" s="12"/>
      <c r="H11" s="12"/>
      <c r="I11" s="12"/>
      <c r="J11" s="12"/>
    </row>
    <row r="12" spans="2:10" ht="15" thickBot="1">
      <c r="B12" s="171"/>
      <c r="C12" s="11" t="s">
        <v>23</v>
      </c>
      <c r="D12" s="10" t="s">
        <v>23</v>
      </c>
      <c r="E12" s="10" t="s">
        <v>23</v>
      </c>
      <c r="F12" s="10" t="s">
        <v>23</v>
      </c>
      <c r="G12" s="12"/>
      <c r="H12" s="12"/>
      <c r="I12" s="12"/>
      <c r="J12" s="12"/>
    </row>
    <row r="13" spans="2:10" ht="70.2" customHeight="1">
      <c r="B13" s="171" t="s">
        <v>65</v>
      </c>
      <c r="C13" s="7" t="s">
        <v>37</v>
      </c>
      <c r="D13" s="11" t="s">
        <v>39</v>
      </c>
      <c r="E13" s="11" t="s">
        <v>40</v>
      </c>
      <c r="F13" s="11" t="s">
        <v>41</v>
      </c>
      <c r="G13" s="12"/>
      <c r="H13" s="12"/>
      <c r="I13" s="12"/>
      <c r="J13" s="12"/>
    </row>
    <row r="14" spans="2:10" ht="15" thickBot="1">
      <c r="B14" s="171"/>
      <c r="C14" s="11" t="s">
        <v>38</v>
      </c>
      <c r="D14" s="11" t="s">
        <v>38</v>
      </c>
      <c r="E14" s="11" t="s">
        <v>38</v>
      </c>
      <c r="F14" s="11" t="s">
        <v>38</v>
      </c>
      <c r="G14" s="12"/>
      <c r="H14" s="12"/>
      <c r="I14" s="12"/>
      <c r="J14" s="12"/>
    </row>
    <row r="15" spans="2:10" ht="87" customHeight="1">
      <c r="B15" s="174"/>
      <c r="C15" s="8"/>
      <c r="D15" s="8"/>
      <c r="E15" s="8"/>
      <c r="F15" s="8"/>
      <c r="G15" s="12"/>
      <c r="H15" s="12"/>
      <c r="I15" s="12"/>
      <c r="J15" s="12"/>
    </row>
    <row r="16" spans="2:10">
      <c r="B16" s="174"/>
      <c r="C16" s="12"/>
      <c r="D16" s="12"/>
      <c r="E16" s="12"/>
      <c r="F16" s="12"/>
      <c r="G16" s="12"/>
      <c r="H16" s="12"/>
      <c r="I16" s="12"/>
      <c r="J16" s="12"/>
    </row>
    <row r="17" spans="7:10">
      <c r="G17" s="82"/>
      <c r="H17" s="82"/>
      <c r="I17" s="82"/>
      <c r="J17" s="82"/>
    </row>
    <row r="18" spans="7:10">
      <c r="G18" s="82"/>
      <c r="H18" s="82"/>
      <c r="I18" s="82"/>
      <c r="J18" s="82"/>
    </row>
  </sheetData>
  <mergeCells count="7">
    <mergeCell ref="B15:B16"/>
    <mergeCell ref="C1:F1"/>
    <mergeCell ref="B5:B6"/>
    <mergeCell ref="B7:B8"/>
    <mergeCell ref="B9:B10"/>
    <mergeCell ref="B11:B12"/>
    <mergeCell ref="B13:B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CHEDULE86_Button2_Click">
                <anchor moveWithCells="1" sizeWithCells="1">
                  <from>
                    <xdr:col>5</xdr:col>
                    <xdr:colOff>647700</xdr:colOff>
                    <xdr:row>0</xdr:row>
                    <xdr:rowOff>800100</xdr:rowOff>
                  </from>
                  <to>
                    <xdr:col>5</xdr:col>
                    <xdr:colOff>3680460</xdr:colOff>
                    <xdr:row>0</xdr:row>
                    <xdr:rowOff>1417320</xdr:rowOff>
                  </to>
                </anchor>
              </controlPr>
            </control>
          </mc:Choice>
        </mc:AlternateContent>
        <mc:AlternateContent xmlns:mc="http://schemas.openxmlformats.org/markup-compatibility/2006">
          <mc:Choice Requires="x14">
            <control shapeId="9218" r:id="rId4" name="Button 2">
              <controlPr defaultSize="0" print="0" autoFill="0" autoPict="0" macro="[0]!SCHEDULE86_Button2_Click">
                <anchor moveWithCells="1" sizeWithCells="1">
                  <from>
                    <xdr:col>0</xdr:col>
                    <xdr:colOff>381000</xdr:colOff>
                    <xdr:row>0</xdr:row>
                    <xdr:rowOff>830580</xdr:rowOff>
                  </from>
                  <to>
                    <xdr:col>3</xdr:col>
                    <xdr:colOff>91440</xdr:colOff>
                    <xdr:row>0</xdr:row>
                    <xdr:rowOff>1440180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SOURCE</vt:lpstr>
      <vt:lpstr>WORK_PLACE</vt:lpstr>
      <vt:lpstr>SCHEDULE 86</vt:lpstr>
      <vt:lpstr>SCHEDULE 66</vt:lpstr>
      <vt:lpstr>SCHEDULE 46</vt:lpstr>
      <vt:lpstr>SCHEDULE 85</vt:lpstr>
      <vt:lpstr>SCHEDULE 65</vt:lpstr>
      <vt:lpstr>SCHEDULE 45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Malhotra</dc:creator>
  <cp:lastModifiedBy>Priyanshu Malhotra</cp:lastModifiedBy>
  <dcterms:created xsi:type="dcterms:W3CDTF">2024-12-13T13:40:50Z</dcterms:created>
  <dcterms:modified xsi:type="dcterms:W3CDTF">2024-12-18T20:12:15Z</dcterms:modified>
</cp:coreProperties>
</file>
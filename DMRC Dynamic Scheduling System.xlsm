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xml" ContentType="application/vnd.openxmlformats-officedocument.spreadsheetml.table+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xml" ContentType="application/vnd.openxmlformats-officedocument.spreadsheetml.table+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D:\DMRC\OPERATIONS\"/>
    </mc:Choice>
  </mc:AlternateContent>
  <xr:revisionPtr revIDLastSave="0" documentId="13_ncr:1_{C47638A7-D8F0-4318-A61B-E8B619FAF7CB}" xr6:coauthVersionLast="47" xr6:coauthVersionMax="47" xr10:uidLastSave="{00000000-0000-0000-0000-000000000000}"/>
  <bookViews>
    <workbookView showSheetTabs="0" xWindow="-108" yWindow="-108" windowWidth="23256" windowHeight="12456" firstSheet="1" activeTab="7" xr2:uid="{D0A68AA0-E50F-47FE-A2F3-8DF328813E67}"/>
  </bookViews>
  <sheets>
    <sheet name="SCHEDULE 86" sheetId="21" r:id="rId1"/>
    <sheet name="SCHEDULE 85" sheetId="19" r:id="rId2"/>
    <sheet name="SCHEDULE 66" sheetId="18" r:id="rId3"/>
    <sheet name="SCHEDULE 65" sheetId="17" r:id="rId4"/>
    <sheet name="SCHEDULE 46" sheetId="16" r:id="rId5"/>
    <sheet name="SCHEDULE 45" sheetId="22" r:id="rId6"/>
    <sheet name="WORK_PLACE2" sheetId="2" r:id="rId7"/>
    <sheet name="WORK_PLACE" sheetId="23" r:id="rId8"/>
    <sheet name="SOURCE" sheetId="1" r:id="rId9"/>
  </sheets>
  <definedNames>
    <definedName name="_xlnm.Print_Area" localSheetId="5">'SCHEDULE 45'!$A$1:$H$27</definedName>
    <definedName name="_xlnm.Print_Area" localSheetId="4">'SCHEDULE 46'!$A$1:$H$29</definedName>
    <definedName name="_xlnm.Print_Area" localSheetId="3">'SCHEDULE 65'!$A$1:$I$27</definedName>
    <definedName name="_xlnm.Print_Area" localSheetId="2">'SCHEDULE 66'!$A$1:$I$29</definedName>
    <definedName name="_xlnm.Print_Area" localSheetId="1">'SCHEDULE 85'!$A$1:$J$27</definedName>
    <definedName name="_xlnm.Print_Area" localSheetId="0">'SCHEDULE 86'!$A$1:$J$29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2" l="1"/>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H4" i="22"/>
  <c r="H4" i="16"/>
  <c r="I4" i="17"/>
  <c r="I4" i="18"/>
  <c r="J4" i="21"/>
  <c r="J4" i="19"/>
  <c r="A3" i="2" a="1"/>
  <c r="A3" i="2" s="1"/>
  <c r="A4" i="2" a="1"/>
  <c r="A4" i="2" s="1"/>
  <c r="A5" i="2" a="1"/>
  <c r="A5" i="2" s="1"/>
  <c r="A6" i="2" a="1"/>
  <c r="A6" i="2" s="1"/>
  <c r="A7" i="2" a="1"/>
  <c r="A7" i="2" s="1"/>
  <c r="A8" i="2" a="1"/>
  <c r="A8" i="2" s="1"/>
  <c r="A9" i="2" a="1"/>
  <c r="A9" i="2" s="1"/>
  <c r="A10" i="2" a="1"/>
  <c r="A10" i="2" s="1"/>
  <c r="A11" i="2" a="1"/>
  <c r="A11" i="2" s="1"/>
  <c r="A12" i="2" a="1"/>
  <c r="A12" i="2" s="1"/>
  <c r="A13" i="2" a="1"/>
  <c r="A13" i="2" s="1"/>
  <c r="A14" i="2" a="1"/>
  <c r="A14" i="2" s="1"/>
  <c r="A15" i="2" a="1"/>
  <c r="A15" i="2" s="1"/>
  <c r="A16" i="2" a="1"/>
  <c r="A16" i="2" s="1"/>
  <c r="A17" i="2" a="1"/>
  <c r="A17" i="2" s="1"/>
  <c r="A18" i="2" a="1"/>
  <c r="A18" i="2" s="1"/>
  <c r="A19" i="2" a="1"/>
  <c r="A19" i="2" s="1"/>
  <c r="A20" i="2" a="1"/>
  <c r="A20" i="2" s="1"/>
  <c r="A21" i="2" a="1"/>
  <c r="A21" i="2" s="1"/>
  <c r="A22" i="2" a="1"/>
  <c r="A22" i="2" s="1"/>
  <c r="A23" i="2" a="1"/>
  <c r="A23" i="2" s="1"/>
  <c r="A24" i="2" a="1"/>
  <c r="A24" i="2" s="1"/>
  <c r="A25" i="2" a="1"/>
  <c r="A25" i="2" s="1"/>
  <c r="A26" i="2" a="1"/>
  <c r="A26" i="2" s="1"/>
  <c r="A27" i="2" a="1"/>
  <c r="A27" i="2" s="1"/>
  <c r="A28" i="2" a="1"/>
  <c r="A28" i="2" s="1"/>
  <c r="A29" i="2" a="1"/>
  <c r="A29" i="2" s="1"/>
  <c r="A30" i="2" a="1"/>
  <c r="A30" i="2" s="1"/>
  <c r="A31" i="2" a="1"/>
  <c r="A31" i="2" s="1"/>
  <c r="A32" i="2" a="1"/>
  <c r="A32" i="2" s="1"/>
  <c r="A33" i="2" a="1"/>
  <c r="A33" i="2" s="1"/>
  <c r="A34" i="2" a="1"/>
  <c r="A34" i="2" s="1"/>
  <c r="A35" i="2" a="1"/>
  <c r="A35" i="2" s="1"/>
  <c r="A36" i="2" a="1"/>
  <c r="A36" i="2" s="1"/>
  <c r="A37" i="2" a="1"/>
  <c r="A37" i="2" s="1"/>
  <c r="A38" i="2" a="1"/>
  <c r="A38" i="2" s="1"/>
  <c r="A39" i="2" a="1"/>
  <c r="A39" i="2" s="1"/>
  <c r="A40" i="2" a="1"/>
  <c r="A40" i="2" s="1"/>
  <c r="A41" i="2" a="1"/>
  <c r="A41" i="2" s="1"/>
  <c r="A42" i="2" a="1"/>
  <c r="A42" i="2" s="1"/>
  <c r="A43" i="2" a="1"/>
  <c r="A43" i="2" s="1"/>
  <c r="A44" i="2" a="1"/>
  <c r="A44" i="2" s="1"/>
  <c r="A45" i="2" a="1"/>
  <c r="A45" i="2" s="1"/>
  <c r="A46" i="2" a="1"/>
  <c r="A46" i="2" s="1"/>
  <c r="A47" i="2" a="1"/>
  <c r="A47" i="2" s="1"/>
  <c r="A48" i="2" a="1"/>
  <c r="A48" i="2" s="1"/>
  <c r="A49" i="2" a="1"/>
  <c r="A49" i="2" s="1"/>
  <c r="A50" i="2" a="1"/>
  <c r="A50" i="2" s="1"/>
  <c r="F11" i="2"/>
  <c r="F13" i="2"/>
  <c r="F3" i="2"/>
  <c r="F4" i="2"/>
  <c r="F5" i="2"/>
  <c r="F6" i="2"/>
  <c r="F7" i="2"/>
  <c r="F8" i="2"/>
  <c r="F9" i="2"/>
  <c r="F10" i="2"/>
  <c r="F12"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l="1"/>
  <c r="J5" i="19" l="1"/>
  <c r="H5" i="22"/>
  <c r="H5" i="16"/>
  <c r="I5" i="17"/>
  <c r="I5" i="18"/>
  <c r="J5" i="2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<sst xmlns="http://schemas.openxmlformats.org/spreadsheetml/2006/main" count="2428" uniqueCount="449">
  <si>
    <t>T1</t>
  </si>
  <si>
    <t>T2</t>
  </si>
  <si>
    <t>T3</t>
  </si>
  <si>
    <t>TEACHING STAFF</t>
  </si>
  <si>
    <t>Give No. of hours per day</t>
  </si>
  <si>
    <t>Subject</t>
  </si>
  <si>
    <t>ORIENTATION</t>
  </si>
  <si>
    <t>FITST AID, FIRE FIGHTING &amp; SECURITY</t>
  </si>
  <si>
    <t>Welcome and details of complete training module and disciplines to be followed during training</t>
  </si>
  <si>
    <t>Batch Coordinator</t>
  </si>
  <si>
    <t>Registration of Trainees</t>
  </si>
  <si>
    <t>Interaction with principal/ Vice principal about Training
importance and discipline.</t>
  </si>
  <si>
    <t>Principal / PO / APO</t>
  </si>
  <si>
    <t>Safety and its different aspect in different department</t>
  </si>
  <si>
    <t>Safety Wing</t>
  </si>
  <si>
    <t>Overview of E&amp;M system (ASS, DG sets &amp; UPS) &amp; Details of BMS, ECS, TVS  equipments and their uses. Restoration of Station power supply during Break down of supplies from ASS.</t>
  </si>
  <si>
    <t>E&amp;M Wing</t>
  </si>
  <si>
    <t>Different equipment in OCC. Liaison and role of different
department in OCC.</t>
  </si>
  <si>
    <t>OCC</t>
  </si>
  <si>
    <t>Scope &amp; Role of First Aid</t>
  </si>
  <si>
    <t>First Aid Faculty</t>
  </si>
  <si>
    <t>Structure &amp; Function of human body</t>
  </si>
  <si>
    <t>Dressing &amp; Bandages, First Aid Box &amp; its contents</t>
  </si>
  <si>
    <t>Circulation of blood, bleeding wound and Hameorages</t>
  </si>
  <si>
    <t>Shock &amp; its management</t>
  </si>
  <si>
    <t>Asphyxla &amp; Artificial Respiration</t>
  </si>
  <si>
    <t>Injuries to bones &amp; Joint fractures</t>
  </si>
  <si>
    <t>Burns&amp; Scalds</t>
  </si>
  <si>
    <t>unconciousnesness &amp; general rules for treatment</t>
  </si>
  <si>
    <t>Transport of injured persons</t>
  </si>
  <si>
    <t>strecher exercise, preparing/ blanketing strecher practical</t>
  </si>
  <si>
    <t>Practical on CPR</t>
  </si>
  <si>
    <t>Exam on first aid</t>
  </si>
  <si>
    <t>Feedback on First Aid</t>
  </si>
  <si>
    <t>Overview of Fire Fighting System in DMRC &amp; Elements of
combustion and its products.</t>
  </si>
  <si>
    <t>Fire Fighting Faculty</t>
  </si>
  <si>
    <t>Classification of fire and extinguishing methods.</t>
  </si>
  <si>
    <t>Active fire protection( Detection/ Alarm)</t>
  </si>
  <si>
    <t>Active fire protection ( Suppression systems:-pumps, Hose/
Extinguishers.)</t>
  </si>
  <si>
    <t>Practicle of automatic fire protection systems and wet drill.
Movie on Fire Safety</t>
  </si>
  <si>
    <t>SOP of Fire accidents in DMRC.  Train: (i)Elevated (ii) Tunnel (iii) Platform}</t>
  </si>
  <si>
    <t>Overview of security system in DMRC</t>
  </si>
  <si>
    <t>Security Staff</t>
  </si>
  <si>
    <t>SC-15, Types of Disaster, Vigilance during disaster management</t>
  </si>
  <si>
    <t>Security Threat, Red Alert- Action to be taken, Handling Theft
cases &amp; abandoned women/child</t>
  </si>
  <si>
    <t>Sh Amit Kr Singh</t>
  </si>
  <si>
    <t>Sh R K Taneja</t>
  </si>
  <si>
    <t>Sh Ashwai Gupta</t>
  </si>
  <si>
    <t>Sh Surender</t>
  </si>
  <si>
    <t>MRGR 2013-V  (Platform Doors)</t>
  </si>
  <si>
    <t>Sh Ranvijay Kunal</t>
  </si>
  <si>
    <t>Sh Vineet</t>
  </si>
  <si>
    <t>Sh Mahender Chauhan</t>
  </si>
  <si>
    <t>Sh Abu Fahim</t>
  </si>
  <si>
    <t>Sh Neeraj</t>
  </si>
  <si>
    <t>MRGR 2013-Ch.I  (Preliminary, Definitions), Ch 2 (Relevant Rules)</t>
  </si>
  <si>
    <t>Sh Ashwani Gupta</t>
  </si>
  <si>
    <t>Sh Amit Sharma</t>
  </si>
  <si>
    <t>Sh Sanjay</t>
  </si>
  <si>
    <t>Sh Shashank</t>
  </si>
  <si>
    <t>Sh K R Ranjan</t>
  </si>
  <si>
    <t>Sh S K Pandey</t>
  </si>
  <si>
    <t>Sh R K Dixit</t>
  </si>
  <si>
    <t>Sh Amit Singh</t>
  </si>
  <si>
    <t>Sh Lokesh</t>
  </si>
  <si>
    <t>Sh S B Sharma</t>
  </si>
  <si>
    <t>Sh Vinay</t>
  </si>
  <si>
    <t>Sh D K Katiyar</t>
  </si>
  <si>
    <t>RS1 Train operation procedures (Ch. 5.1-5.3) (Train Washing, Cab leaving procedure, Procedure for SUO/DUO/TUO)</t>
  </si>
  <si>
    <t>RS1 Train Operation of different sub systems (Ch. 6.1-6.3) (Saloon Door operation, Door Loop, Emergency Evacuation)</t>
  </si>
  <si>
    <t>RS1 Train Operation of different sub systems (Ch. 6.4-6.5) (AC Controls, Operation of Wipers)</t>
  </si>
  <si>
    <t>RS1 Train Operation of different sub systems (Ch. 6.6-6.8) (VCB Opening Closing Restting through TIMS, Operation of PAPIS, Cut Out Cocks)</t>
  </si>
  <si>
    <t>RS2 Train operation procedures Ch. 5 (except ch. 5.4) (Train Washing, Cab leaving procedure, Procedure for SUO/DUO/TUO, Activation &amp; Deactivation of Train on main line. Coupling mode selection, High Tractive effort, Fault Reset, Battery Reset)</t>
  </si>
  <si>
    <t>RS2 Train Operation of different sub systems (Ch. 6.1) (Door System)</t>
  </si>
  <si>
    <t>RS2 Train Operation of different sub systems (Ch. 6.2) (Traction Interlock)</t>
  </si>
  <si>
    <t>RS2 Train Operation of different sub systems (Ch. 6.3) (Emergency Evacuation)</t>
  </si>
  <si>
    <t>RS2 Train Operation of different sub systems (Ch. 6.4, 6.5 &amp; 6.8) (HVAC Control, Operation of PAPIS, Train Lighting)</t>
  </si>
  <si>
    <t>RS2 Train Operation of different sub systems (Ch. 6.6-6.7) (Cut out cocks, Control of Main Compressor)</t>
  </si>
  <si>
    <t>Train Operation in ATO mode Practical &amp; ATP Troubleshooting Practical simluator</t>
  </si>
  <si>
    <t>Demonstrate Train Driving in ATO mode on simluator</t>
  </si>
  <si>
    <t>Simulator Faculty</t>
  </si>
  <si>
    <t>Introduce various failures related to ATP on simulator and Explain their troubleshooting steps including  steps for switching
off ATP MCB &amp; steps for resetting ATP MCBsimluator</t>
  </si>
  <si>
    <t>Train initialization indication, Door Opening in Standby mode &amp; ATP MCB Resetting practical</t>
  </si>
  <si>
    <t>Crew Control Faculty</t>
  </si>
  <si>
    <t xml:space="preserve">driving mode selection &amp; Safety features of ATC &amp; degraded mode             </t>
  </si>
  <si>
    <t>Explain safety features of ATC &amp; Compare all the driving modes on the basis of safety features provided by ATC system   presentation</t>
  </si>
  <si>
    <t xml:space="preserve">ATP troubleshooting Practical </t>
  </si>
  <si>
    <t>Training Hour Completed</t>
  </si>
  <si>
    <t>Use option button value</t>
  </si>
  <si>
    <r>
      <rPr>
        <b/>
        <sz val="7.5"/>
        <rFont val="Calibri"/>
        <family val="1"/>
      </rPr>
      <t>S. No.</t>
    </r>
  </si>
  <si>
    <r>
      <rPr>
        <b/>
        <sz val="8"/>
        <rFont val="Calibri"/>
        <family val="1"/>
      </rPr>
      <t>Topic</t>
    </r>
  </si>
  <si>
    <r>
      <rPr>
        <b/>
        <sz val="8"/>
        <rFont val="Calibri"/>
        <family val="1"/>
      </rPr>
      <t>Sub Topic</t>
    </r>
  </si>
  <si>
    <r>
      <rPr>
        <b/>
        <sz val="8"/>
        <rFont val="Calibri"/>
        <family val="1"/>
      </rPr>
      <t>No. of Sessions</t>
    </r>
  </si>
  <si>
    <r>
      <rPr>
        <sz val="8"/>
        <rFont val="Calibri"/>
        <family val="1"/>
      </rPr>
      <t>Faculty 1</t>
    </r>
  </si>
  <si>
    <r>
      <rPr>
        <sz val="8"/>
        <rFont val="Calibri"/>
        <family val="1"/>
      </rPr>
      <t>Faculty 2</t>
    </r>
  </si>
  <si>
    <r>
      <rPr>
        <sz val="8"/>
        <rFont val="Calibri"/>
        <family val="1"/>
      </rPr>
      <t>Faculty 3</t>
    </r>
  </si>
  <si>
    <r>
      <rPr>
        <sz val="8"/>
        <rFont val="Calibri"/>
        <family val="1"/>
      </rPr>
      <t>Training module &amp; dissemination of other information by Batch Coordinator</t>
    </r>
  </si>
  <si>
    <r>
      <rPr>
        <sz val="8"/>
        <rFont val="Calibri"/>
        <family val="1"/>
      </rPr>
      <t>Welcome and details of complete training module and disciplines to be followed during training</t>
    </r>
  </si>
  <si>
    <r>
      <rPr>
        <sz val="8"/>
        <rFont val="Calibri"/>
        <family val="1"/>
      </rPr>
      <t>Batch Coordinator</t>
    </r>
  </si>
  <si>
    <r>
      <rPr>
        <sz val="8"/>
        <rFont val="Calibri"/>
        <family val="1"/>
      </rPr>
      <t>Registration</t>
    </r>
  </si>
  <si>
    <r>
      <rPr>
        <sz val="8"/>
        <rFont val="Calibri"/>
        <family val="1"/>
      </rPr>
      <t>Registration of Trainees</t>
    </r>
  </si>
  <si>
    <r>
      <rPr>
        <sz val="8"/>
        <rFont val="Calibri"/>
        <family val="1"/>
      </rPr>
      <t xml:space="preserve">Interaction with Principal /Vice
</t>
    </r>
    <r>
      <rPr>
        <sz val="8"/>
        <rFont val="Calibri"/>
        <family val="1"/>
      </rPr>
      <t>Principal</t>
    </r>
  </si>
  <si>
    <r>
      <rPr>
        <sz val="8"/>
        <rFont val="Calibri"/>
        <family val="1"/>
      </rPr>
      <t xml:space="preserve">Interaction with principal/ Vice principal about Training
</t>
    </r>
    <r>
      <rPr>
        <sz val="8"/>
        <rFont val="Calibri"/>
        <family val="1"/>
      </rPr>
      <t>importance and discipline.</t>
    </r>
  </si>
  <si>
    <r>
      <rPr>
        <sz val="8"/>
        <rFont val="Calibri"/>
        <family val="1"/>
      </rPr>
      <t>Principal / PO / APO</t>
    </r>
  </si>
  <si>
    <r>
      <rPr>
        <sz val="8"/>
        <rFont val="Calibri"/>
        <family val="1"/>
      </rPr>
      <t>Overview of safety</t>
    </r>
  </si>
  <si>
    <r>
      <rPr>
        <sz val="8"/>
        <rFont val="Calibri"/>
        <family val="1"/>
      </rPr>
      <t>Safety and its different aspect in different department</t>
    </r>
  </si>
  <si>
    <r>
      <rPr>
        <sz val="8"/>
        <rFont val="Calibri"/>
        <family val="1"/>
      </rPr>
      <t>Safety Wing</t>
    </r>
  </si>
  <si>
    <r>
      <rPr>
        <sz val="8"/>
        <rFont val="Calibri"/>
        <family val="1"/>
      </rPr>
      <t>Overview of E&amp;M &amp; ECS/TVS/BMS in DMRC</t>
    </r>
  </si>
  <si>
    <r>
      <rPr>
        <sz val="8"/>
        <rFont val="Calibri"/>
        <family val="1"/>
      </rPr>
      <t>Overview of E&amp;M system (ASS, DG sets &amp; UPS) &amp; Details of BMS, ECS, TVS  equipments and their uses. Restoration of Station power supply during Break down of supplies from ASS.</t>
    </r>
  </si>
  <si>
    <r>
      <rPr>
        <sz val="8"/>
        <rFont val="Calibri"/>
        <family val="1"/>
      </rPr>
      <t>E&amp;M Wing</t>
    </r>
  </si>
  <si>
    <r>
      <rPr>
        <sz val="8"/>
        <rFont val="Calibri"/>
        <family val="1"/>
      </rPr>
      <t>Working of OCC</t>
    </r>
  </si>
  <si>
    <r>
      <rPr>
        <sz val="8"/>
        <rFont val="Calibri"/>
        <family val="1"/>
      </rPr>
      <t xml:space="preserve">Different equipment in OCC. Liaison and role of different
</t>
    </r>
    <r>
      <rPr>
        <sz val="8"/>
        <rFont val="Calibri"/>
        <family val="1"/>
      </rPr>
      <t>department in OCC.</t>
    </r>
  </si>
  <si>
    <r>
      <rPr>
        <sz val="8"/>
        <rFont val="Calibri"/>
        <family val="1"/>
      </rPr>
      <t>OCC</t>
    </r>
  </si>
  <si>
    <r>
      <rPr>
        <sz val="8"/>
        <rFont val="Calibri"/>
        <family val="1"/>
      </rPr>
      <t>First- Aid</t>
    </r>
  </si>
  <si>
    <r>
      <rPr>
        <sz val="8"/>
        <rFont val="Calibri"/>
        <family val="1"/>
      </rPr>
      <t>Scope &amp; Role of First Aid</t>
    </r>
  </si>
  <si>
    <r>
      <rPr>
        <sz val="8"/>
        <rFont val="Calibri"/>
        <family val="1"/>
      </rPr>
      <t>First Aid Faculty</t>
    </r>
  </si>
  <si>
    <r>
      <rPr>
        <sz val="8"/>
        <rFont val="Calibri"/>
        <family val="1"/>
      </rPr>
      <t>Structure &amp; Function of human body</t>
    </r>
  </si>
  <si>
    <r>
      <rPr>
        <sz val="8"/>
        <rFont val="Calibri"/>
        <family val="1"/>
      </rPr>
      <t>Dressing &amp; Bandages, First Aid Box &amp; its contents</t>
    </r>
  </si>
  <si>
    <r>
      <rPr>
        <sz val="8"/>
        <rFont val="Calibri"/>
        <family val="1"/>
      </rPr>
      <t>Circulation of blood, bleeding wound and Hameorages</t>
    </r>
  </si>
  <si>
    <r>
      <rPr>
        <sz val="8"/>
        <rFont val="Calibri"/>
        <family val="1"/>
      </rPr>
      <t>Shock &amp; its management</t>
    </r>
  </si>
  <si>
    <r>
      <rPr>
        <sz val="8"/>
        <rFont val="Calibri"/>
        <family val="1"/>
      </rPr>
      <t>Asphyxla &amp; Artificial Respiration</t>
    </r>
  </si>
  <si>
    <r>
      <rPr>
        <sz val="8"/>
        <rFont val="Calibri"/>
        <family val="1"/>
      </rPr>
      <t>Injuries to bones &amp; Joint fractures</t>
    </r>
  </si>
  <si>
    <r>
      <rPr>
        <sz val="8"/>
        <rFont val="Calibri"/>
        <family val="1"/>
      </rPr>
      <t>Burns&amp; Scalds</t>
    </r>
  </si>
  <si>
    <r>
      <rPr>
        <sz val="8"/>
        <rFont val="Calibri"/>
        <family val="1"/>
      </rPr>
      <t>unconciousnesness &amp; general rules for treatment</t>
    </r>
  </si>
  <si>
    <r>
      <rPr>
        <sz val="8"/>
        <rFont val="Calibri"/>
        <family val="1"/>
      </rPr>
      <t>Transport of injured persons</t>
    </r>
  </si>
  <si>
    <r>
      <rPr>
        <sz val="8"/>
        <rFont val="Calibri"/>
        <family val="1"/>
      </rPr>
      <t>strecher exercise, preparing/ blanketing strecher practical</t>
    </r>
  </si>
  <si>
    <r>
      <rPr>
        <sz val="8"/>
        <rFont val="Calibri"/>
        <family val="1"/>
      </rPr>
      <t>Practical on CPR</t>
    </r>
  </si>
  <si>
    <r>
      <rPr>
        <sz val="8"/>
        <rFont val="Calibri"/>
        <family val="1"/>
      </rPr>
      <t>Exam on first aid</t>
    </r>
  </si>
  <si>
    <r>
      <rPr>
        <sz val="8"/>
        <rFont val="Calibri"/>
        <family val="1"/>
      </rPr>
      <t>Feedback on First Aid</t>
    </r>
  </si>
  <si>
    <r>
      <rPr>
        <sz val="8"/>
        <rFont val="Calibri"/>
        <family val="1"/>
      </rPr>
      <t>Fire Fighting</t>
    </r>
  </si>
  <si>
    <r>
      <rPr>
        <sz val="8"/>
        <rFont val="Calibri"/>
        <family val="1"/>
      </rPr>
      <t xml:space="preserve">Overview of Fire Fighting System in DMRC &amp; Elements of
</t>
    </r>
    <r>
      <rPr>
        <sz val="8"/>
        <rFont val="Calibri"/>
        <family val="1"/>
      </rPr>
      <t>combustion and its products.</t>
    </r>
  </si>
  <si>
    <r>
      <rPr>
        <sz val="8"/>
        <rFont val="Calibri"/>
        <family val="1"/>
      </rPr>
      <t>Fire Fighting Faculty</t>
    </r>
  </si>
  <si>
    <r>
      <rPr>
        <sz val="8"/>
        <rFont val="Calibri"/>
        <family val="1"/>
      </rPr>
      <t>Classification of fire and extinguishing methods.</t>
    </r>
  </si>
  <si>
    <r>
      <rPr>
        <sz val="8"/>
        <rFont val="Calibri"/>
        <family val="1"/>
      </rPr>
      <t>Active fire protection( Detection/ Alarm)</t>
    </r>
  </si>
  <si>
    <r>
      <rPr>
        <sz val="8"/>
        <rFont val="Calibri"/>
        <family val="1"/>
      </rPr>
      <t xml:space="preserve">Active fire protection ( Suppression systems:-pumps, Hose/
</t>
    </r>
    <r>
      <rPr>
        <sz val="8"/>
        <rFont val="Calibri"/>
        <family val="1"/>
      </rPr>
      <t>Extinguishers.)</t>
    </r>
  </si>
  <si>
    <r>
      <rPr>
        <sz val="8"/>
        <rFont val="Calibri"/>
        <family val="1"/>
      </rPr>
      <t xml:space="preserve">Practicle of automatic fire protection systems and wet drill.
</t>
    </r>
    <r>
      <rPr>
        <sz val="8"/>
        <rFont val="Calibri"/>
        <family val="1"/>
      </rPr>
      <t>Movie on Fire Safety</t>
    </r>
  </si>
  <si>
    <r>
      <rPr>
        <sz val="8"/>
        <rFont val="Calibri"/>
        <family val="1"/>
      </rPr>
      <t>SOP of Fire accidents in DMRC.  Train: (i)Elevated (ii) Tunnel (iii) Platform}</t>
    </r>
  </si>
  <si>
    <r>
      <rPr>
        <sz val="8"/>
        <rFont val="Calibri"/>
        <family val="1"/>
      </rPr>
      <t>Security</t>
    </r>
  </si>
  <si>
    <r>
      <rPr>
        <sz val="8"/>
        <rFont val="Calibri"/>
        <family val="1"/>
      </rPr>
      <t>Overview of security system in DMRC</t>
    </r>
  </si>
  <si>
    <r>
      <rPr>
        <sz val="8"/>
        <rFont val="Calibri"/>
        <family val="1"/>
      </rPr>
      <t>Security Staff</t>
    </r>
  </si>
  <si>
    <r>
      <rPr>
        <sz val="8"/>
        <rFont val="Calibri"/>
        <family val="1"/>
      </rPr>
      <t>SC-15, Types of Disaster, Vigilance during disaster management</t>
    </r>
  </si>
  <si>
    <r>
      <rPr>
        <sz val="8"/>
        <rFont val="Calibri"/>
        <family val="1"/>
      </rPr>
      <t xml:space="preserve">Security Threat, Red Alert- Action to be taken, Handling Theft
</t>
    </r>
    <r>
      <rPr>
        <sz val="8"/>
        <rFont val="Calibri"/>
        <family val="1"/>
      </rPr>
      <t>cases &amp; abandoned women/child</t>
    </r>
  </si>
  <si>
    <r>
      <rPr>
        <sz val="8"/>
        <rFont val="Calibri"/>
        <family val="1"/>
      </rPr>
      <t>MRGR</t>
    </r>
  </si>
  <si>
    <r>
      <rPr>
        <sz val="8"/>
        <rFont val="Calibri"/>
        <family val="1"/>
      </rPr>
      <t>MRGR 2013-Ch.I  (Preliminary, Definitions), Ch 2 (Relevant Rules)</t>
    </r>
  </si>
  <si>
    <r>
      <rPr>
        <sz val="8"/>
        <rFont val="Calibri"/>
        <family val="1"/>
      </rPr>
      <t>Sh Gaurav Saxena</t>
    </r>
  </si>
  <si>
    <r>
      <rPr>
        <sz val="8"/>
        <rFont val="Calibri"/>
        <family val="1"/>
      </rPr>
      <t>MRGR 2013-III (Signals and Control)</t>
    </r>
  </si>
  <si>
    <r>
      <rPr>
        <sz val="8"/>
        <rFont val="Calibri"/>
        <family val="1"/>
      </rPr>
      <t>Sh Abu Fahim</t>
    </r>
  </si>
  <si>
    <r>
      <rPr>
        <sz val="8"/>
        <rFont val="Calibri"/>
        <family val="1"/>
      </rPr>
      <t>Sh Lokesh</t>
    </r>
  </si>
  <si>
    <r>
      <rPr>
        <sz val="8"/>
        <rFont val="Calibri"/>
        <family val="1"/>
      </rPr>
      <t>Sh Surender</t>
    </r>
  </si>
  <si>
    <r>
      <rPr>
        <sz val="8"/>
        <rFont val="Calibri"/>
        <family val="1"/>
      </rPr>
      <t>MRGR 2013-IV (Speed &amp; Working of Trains)</t>
    </r>
  </si>
  <si>
    <r>
      <rPr>
        <sz val="8"/>
        <rFont val="Calibri"/>
        <family val="1"/>
      </rPr>
      <t>Sh Lokesh Kumar</t>
    </r>
  </si>
  <si>
    <r>
      <rPr>
        <sz val="8"/>
        <rFont val="Calibri"/>
        <family val="1"/>
      </rPr>
      <t>Sh D K katiyar</t>
    </r>
  </si>
  <si>
    <r>
      <rPr>
        <sz val="8"/>
        <rFont val="Calibri"/>
        <family val="1"/>
      </rPr>
      <t>MRGR 2013-VI (Control and Working of Staions)</t>
    </r>
  </si>
  <si>
    <r>
      <rPr>
        <sz val="8"/>
        <rFont val="Calibri"/>
        <family val="1"/>
      </rPr>
      <t>MRGR 2013-VII  (Accident and Unusual Occurrences)</t>
    </r>
  </si>
  <si>
    <r>
      <rPr>
        <sz val="8"/>
        <rFont val="Calibri"/>
        <family val="1"/>
      </rPr>
      <t>Sh Ashwani Gupta</t>
    </r>
  </si>
  <si>
    <r>
      <rPr>
        <sz val="8"/>
        <rFont val="Calibri"/>
        <family val="1"/>
      </rPr>
      <t xml:space="preserve">MRGR 2013-VIII (Systems of Working) &amp; MRGR 2013-XII (Other
</t>
    </r>
    <r>
      <rPr>
        <sz val="8"/>
        <rFont val="Calibri"/>
        <family val="1"/>
      </rPr>
      <t>Systems of Working)</t>
    </r>
  </si>
  <si>
    <r>
      <rPr>
        <sz val="8"/>
        <rFont val="Calibri"/>
        <family val="1"/>
      </rPr>
      <t>Sh Ashwani Guota</t>
    </r>
  </si>
  <si>
    <r>
      <rPr>
        <sz val="8"/>
        <rFont val="Calibri"/>
        <family val="1"/>
      </rPr>
      <t>MRGR 2013-IX (Single Line Working)</t>
    </r>
  </si>
  <si>
    <r>
      <rPr>
        <sz val="8"/>
        <rFont val="Calibri"/>
        <family val="1"/>
      </rPr>
      <t>MRGR 2013-XI (Power Supply and Traction Arrangement)</t>
    </r>
  </si>
  <si>
    <r>
      <rPr>
        <sz val="8"/>
        <rFont val="Calibri"/>
        <family val="1"/>
      </rPr>
      <t>Sh R K Taneja</t>
    </r>
  </si>
  <si>
    <r>
      <rPr>
        <sz val="8"/>
        <rFont val="Calibri"/>
        <family val="1"/>
      </rPr>
      <t>Safety Circular</t>
    </r>
  </si>
  <si>
    <r>
      <rPr>
        <sz val="8"/>
        <rFont val="Calibri"/>
        <family val="1"/>
      </rPr>
      <t>SC-31, SC-36, SC-39 &amp; SC-40</t>
    </r>
  </si>
  <si>
    <r>
      <rPr>
        <sz val="8"/>
        <rFont val="Calibri"/>
        <family val="1"/>
      </rPr>
      <t>SC-5, SC-6 with Role Play</t>
    </r>
  </si>
  <si>
    <r>
      <rPr>
        <sz val="8"/>
        <rFont val="Calibri"/>
        <family val="1"/>
      </rPr>
      <t>Sh R S Sharma</t>
    </r>
  </si>
  <si>
    <r>
      <rPr>
        <sz val="8"/>
        <rFont val="Calibri"/>
        <family val="1"/>
      </rPr>
      <t>Sh D K Katiyar</t>
    </r>
  </si>
  <si>
    <r>
      <rPr>
        <sz val="8"/>
        <rFont val="Calibri"/>
        <family val="1"/>
      </rPr>
      <t xml:space="preserve">Safety Circular
</t>
    </r>
    <r>
      <rPr>
        <sz val="8"/>
        <rFont val="Calibri"/>
        <family val="1"/>
      </rPr>
      <t>(Role Play)</t>
    </r>
  </si>
  <si>
    <r>
      <rPr>
        <sz val="8"/>
        <rFont val="Calibri"/>
        <family val="1"/>
      </rPr>
      <t>Role Play on situations based on SC-7 (A,B&amp;C), SC-25</t>
    </r>
  </si>
  <si>
    <r>
      <rPr>
        <sz val="8"/>
        <rFont val="Calibri"/>
        <family val="1"/>
      </rPr>
      <t>SC-4, SC-13,SC-17, SC-21  including MRGR (Ch X) and SC-29 A/B</t>
    </r>
  </si>
  <si>
    <r>
      <rPr>
        <sz val="8"/>
        <rFont val="Calibri"/>
        <family val="1"/>
      </rPr>
      <t>Safety Circular, Personal Safety</t>
    </r>
  </si>
  <si>
    <r>
      <rPr>
        <sz val="8"/>
        <rFont val="Calibri"/>
        <family val="1"/>
      </rPr>
      <t>Accident and Disaster Management Manual</t>
    </r>
  </si>
  <si>
    <r>
      <rPr>
        <sz val="8"/>
        <rFont val="Calibri"/>
        <family val="1"/>
      </rPr>
      <t>SC-30, SC-32, SC-33</t>
    </r>
  </si>
  <si>
    <r>
      <rPr>
        <sz val="8"/>
        <rFont val="Calibri"/>
        <family val="1"/>
      </rPr>
      <t>SC-16,SC-34,</t>
    </r>
    <r>
      <rPr>
        <u/>
        <sz val="8"/>
        <rFont val="Calibri"/>
        <family val="1"/>
      </rPr>
      <t>SC-41 A, SC 23 A/B</t>
    </r>
  </si>
  <si>
    <r>
      <rPr>
        <sz val="8"/>
        <rFont val="Calibri"/>
        <family val="1"/>
      </rPr>
      <t>SC-10, SC-26 and DO'S and Don'ts as regards to OHE</t>
    </r>
  </si>
  <si>
    <r>
      <rPr>
        <sz val="8"/>
        <rFont val="Calibri"/>
        <family val="1"/>
      </rPr>
      <t>SC-12 &amp; 12A</t>
    </r>
  </si>
  <si>
    <r>
      <rPr>
        <sz val="8"/>
        <rFont val="Calibri"/>
        <family val="1"/>
      </rPr>
      <t>Fire Officer</t>
    </r>
  </si>
  <si>
    <r>
      <rPr>
        <sz val="8"/>
        <rFont val="Calibri"/>
        <family val="1"/>
      </rPr>
      <t>DMRC Contigency Plan (Fire)</t>
    </r>
  </si>
  <si>
    <r>
      <rPr>
        <sz val="8"/>
        <rFont val="Calibri"/>
        <family val="1"/>
      </rPr>
      <t>Role Play on situations based on DMRC Contigency Plan (Fire)</t>
    </r>
  </si>
  <si>
    <r>
      <rPr>
        <sz val="8"/>
        <rFont val="Calibri"/>
        <family val="1"/>
      </rPr>
      <t>Contigency Plan DMRC (Security)</t>
    </r>
  </si>
  <si>
    <r>
      <rPr>
        <sz val="8"/>
        <rFont val="Calibri"/>
        <family val="1"/>
      </rPr>
      <t>Contigency Plan DMRC (Security) Reference : Revised Hand book for dealing with Serious Incidents/Accidents/Disasters</t>
    </r>
  </si>
  <si>
    <r>
      <rPr>
        <sz val="8"/>
        <rFont val="Calibri"/>
        <family val="1"/>
      </rPr>
      <t>Security Officer</t>
    </r>
  </si>
  <si>
    <r>
      <rPr>
        <sz val="8"/>
        <rFont val="Calibri"/>
        <family val="1"/>
      </rPr>
      <t>Contigency Plan DMRC (Ops)</t>
    </r>
  </si>
  <si>
    <r>
      <rPr>
        <sz val="8"/>
        <rFont val="Calibri"/>
        <family val="1"/>
      </rPr>
      <t>Contigency Plan DMRC (Ops) Reference : Revised Hand book for dealing with Serious Incidents/Accidents/Disasters &amp; Role of operation staff  &amp; Disaster Management Manual</t>
    </r>
  </si>
  <si>
    <r>
      <rPr>
        <sz val="8"/>
        <rFont val="Calibri"/>
        <family val="1"/>
      </rPr>
      <t>Role Play on situations based on Contigency Plan DMRC (Ops)</t>
    </r>
  </si>
  <si>
    <r>
      <rPr>
        <sz val="8"/>
        <rFont val="Calibri"/>
        <family val="1"/>
      </rPr>
      <t>Sh Gaurav</t>
    </r>
  </si>
  <si>
    <r>
      <rPr>
        <sz val="8"/>
        <rFont val="Calibri"/>
        <family val="1"/>
      </rPr>
      <t>Incident Handling</t>
    </r>
  </si>
  <si>
    <r>
      <rPr>
        <sz val="8"/>
        <rFont val="Calibri"/>
        <family val="1"/>
      </rPr>
      <t>Staff Response during Incident handling</t>
    </r>
  </si>
  <si>
    <r>
      <rPr>
        <sz val="8"/>
        <rFont val="Calibri"/>
        <family val="1"/>
      </rPr>
      <t>Feed Back</t>
    </r>
  </si>
  <si>
    <r>
      <rPr>
        <sz val="8"/>
        <rFont val="Calibri"/>
        <family val="1"/>
      </rPr>
      <t>Weekly Feedback from Trainees</t>
    </r>
  </si>
  <si>
    <r>
      <rPr>
        <sz val="8"/>
        <rFont val="Calibri"/>
        <family val="1"/>
      </rPr>
      <t>Practical</t>
    </r>
  </si>
  <si>
    <r>
      <rPr>
        <sz val="8"/>
        <rFont val="Calibri"/>
        <family val="1"/>
      </rPr>
      <t>Feedback session</t>
    </r>
  </si>
  <si>
    <r>
      <rPr>
        <sz val="8"/>
        <rFont val="Calibri"/>
        <family val="1"/>
      </rPr>
      <t>Overview</t>
    </r>
  </si>
  <si>
    <r>
      <rPr>
        <sz val="8"/>
        <rFont val="Calibri"/>
        <family val="1"/>
      </rPr>
      <t>Overview of RS1 Train &amp; its sub systems</t>
    </r>
  </si>
  <si>
    <r>
      <rPr>
        <sz val="8"/>
        <rFont val="Calibri"/>
        <family val="1"/>
      </rPr>
      <t xml:space="preserve">All Internal &amp; External Equiments, Bogie, Primary Suspension &amp;
</t>
    </r>
    <r>
      <rPr>
        <sz val="8"/>
        <rFont val="Calibri"/>
        <family val="1"/>
      </rPr>
      <t>Couplers in RS1 Train</t>
    </r>
  </si>
  <si>
    <r>
      <rPr>
        <sz val="8"/>
        <rFont val="Calibri"/>
        <family val="1"/>
      </rPr>
      <t>Sh S K Pandey</t>
    </r>
  </si>
  <si>
    <r>
      <rPr>
        <sz val="8"/>
        <rFont val="Calibri"/>
        <family val="1"/>
      </rPr>
      <t>Cab Equipments &amp; their functionality in RS1 Train.</t>
    </r>
  </si>
  <si>
    <r>
      <rPr>
        <sz val="8"/>
        <rFont val="Calibri"/>
        <family val="1"/>
      </rPr>
      <t>Train Sub Systems</t>
    </r>
  </si>
  <si>
    <r>
      <rPr>
        <sz val="8"/>
        <rFont val="Calibri"/>
        <family val="1"/>
      </rPr>
      <t>Train Integrated Management System in RS1 Train</t>
    </r>
  </si>
  <si>
    <r>
      <rPr>
        <sz val="8"/>
        <rFont val="Calibri"/>
        <family val="1"/>
      </rPr>
      <t>Current Collection System &amp; Propulsion System in RS1 Train</t>
    </r>
  </si>
  <si>
    <r>
      <rPr>
        <sz val="8"/>
        <rFont val="Calibri"/>
        <family val="1"/>
      </rPr>
      <t>Auxilliary &amp; Battery System and Training Lighting in RS1 train</t>
    </r>
  </si>
  <si>
    <r>
      <rPr>
        <sz val="8"/>
        <rFont val="Calibri"/>
        <family val="1"/>
      </rPr>
      <t>Door System and Door loop in RS1 Train</t>
    </r>
  </si>
  <si>
    <r>
      <rPr>
        <sz val="8"/>
        <rFont val="Calibri"/>
        <family val="1"/>
      </rPr>
      <t>Aircon System in RS1 Train</t>
    </r>
  </si>
  <si>
    <r>
      <rPr>
        <sz val="8"/>
        <rFont val="Calibri"/>
        <family val="1"/>
      </rPr>
      <t>PA/PIS  System in RS1 Train</t>
    </r>
  </si>
  <si>
    <r>
      <rPr>
        <sz val="8"/>
        <rFont val="Calibri"/>
        <family val="1"/>
      </rPr>
      <t>Brake System in RS1 Train (including Airsupply System)</t>
    </r>
  </si>
  <si>
    <r>
      <rPr>
        <sz val="8"/>
        <rFont val="Calibri"/>
        <family val="1"/>
      </rPr>
      <t>Schematic view of Cab Control, Motoring &amp; Braking in RS 1 Train, Brake loop and Emergency Brake loop in RS1 Train</t>
    </r>
  </si>
  <si>
    <r>
      <rPr>
        <sz val="8"/>
        <rFont val="Calibri"/>
        <family val="1"/>
      </rPr>
      <t>Driving Basic in RS1 Train (Ch.1)</t>
    </r>
  </si>
  <si>
    <r>
      <rPr>
        <sz val="8"/>
        <rFont val="Calibri"/>
        <family val="1"/>
      </rPr>
      <t xml:space="preserve">RS1 Train preparation, System Status &amp; Fault Indicators and
</t>
    </r>
    <r>
      <rPr>
        <sz val="8"/>
        <rFont val="Calibri"/>
        <family val="1"/>
      </rPr>
      <t>stabling of train (Ins 24, Ch 3&amp;4)</t>
    </r>
  </si>
  <si>
    <r>
      <rPr>
        <sz val="8"/>
        <rFont val="Calibri"/>
        <family val="1"/>
      </rPr>
      <t>Operating Manual</t>
    </r>
  </si>
  <si>
    <r>
      <rPr>
        <sz val="8"/>
        <rFont val="Calibri"/>
        <family val="1"/>
      </rPr>
      <t>Sh K R Ranjan</t>
    </r>
  </si>
  <si>
    <r>
      <rPr>
        <sz val="8"/>
        <rFont val="Calibri"/>
        <family val="1"/>
      </rPr>
      <t>Sh R K Dixit</t>
    </r>
  </si>
  <si>
    <r>
      <rPr>
        <sz val="8"/>
        <rFont val="Calibri"/>
        <family val="1"/>
      </rPr>
      <t>Sh Vinay</t>
    </r>
  </si>
  <si>
    <r>
      <rPr>
        <sz val="8"/>
        <rFont val="Calibri"/>
        <family val="1"/>
      </rPr>
      <t>RS1 Rescue Operation (Ch. 7)</t>
    </r>
  </si>
  <si>
    <r>
      <rPr>
        <sz val="8"/>
        <rFont val="Calibri"/>
        <family val="1"/>
      </rPr>
      <t>Troubleshooting Manual</t>
    </r>
  </si>
  <si>
    <r>
      <rPr>
        <sz val="8"/>
        <rFont val="Calibri"/>
        <family val="1"/>
      </rPr>
      <t>RS1 Troubleshooting Concept (Ch.1) &amp; RS13 Features</t>
    </r>
  </si>
  <si>
    <r>
      <rPr>
        <sz val="8"/>
        <rFont val="Calibri"/>
        <family val="1"/>
      </rPr>
      <t>RS1 Brake System Failure Troubleshooting (Ch. 2)</t>
    </r>
  </si>
  <si>
    <r>
      <rPr>
        <sz val="8"/>
        <rFont val="Calibri"/>
        <family val="1"/>
      </rPr>
      <t>RS1 Power Supply System Failure Troubleshooting (Ch. 3.1-3.2)</t>
    </r>
  </si>
  <si>
    <r>
      <rPr>
        <sz val="8"/>
        <rFont val="Calibri"/>
        <family val="1"/>
      </rPr>
      <t>RS1 Power Supply System Failure Troubleshooting (Ch. 3.3-3.5)</t>
    </r>
  </si>
  <si>
    <r>
      <rPr>
        <sz val="8"/>
        <rFont val="Calibri"/>
        <family val="1"/>
      </rPr>
      <t>RS1 Door System Failure Troubleshooting (Ch.4)</t>
    </r>
  </si>
  <si>
    <r>
      <rPr>
        <sz val="8"/>
        <rFont val="Calibri"/>
        <family val="1"/>
      </rPr>
      <t>Sh Surender Singh</t>
    </r>
  </si>
  <si>
    <r>
      <rPr>
        <sz val="8"/>
        <rFont val="Calibri"/>
        <family val="1"/>
      </rPr>
      <t>RS1 VCC Faults Troubleshooting (Ch.5)</t>
    </r>
  </si>
  <si>
    <r>
      <rPr>
        <sz val="8"/>
        <rFont val="Calibri"/>
        <family val="1"/>
      </rPr>
      <t>RS1 TIMS, Aircon &amp; PA/ PIS faults troubleshooting (Ch.6,7&amp;8)</t>
    </r>
  </si>
  <si>
    <r>
      <rPr>
        <sz val="8"/>
        <rFont val="Calibri"/>
        <family val="1"/>
      </rPr>
      <t>Sh S B Sharma</t>
    </r>
  </si>
  <si>
    <r>
      <rPr>
        <sz val="8"/>
        <rFont val="Calibri"/>
        <family val="1"/>
      </rPr>
      <t xml:space="preserve">RS1 Train Procedure for 6car &amp; 8car (OTM Part A Ch.5(5.4),
</t>
    </r>
    <r>
      <rPr>
        <sz val="8"/>
        <rFont val="Calibri"/>
        <family val="1"/>
      </rPr>
      <t>Temporary Instructions and correction slip</t>
    </r>
  </si>
  <si>
    <r>
      <rPr>
        <sz val="8"/>
        <rFont val="Calibri"/>
        <family val="1"/>
      </rPr>
      <t>Familarization of RS1 train ( Interior &amp; Exterior Equipments, Different Panels in Saloon, Familarization of Door system,  PA/ PIS system of RS1 train in Depot</t>
    </r>
  </si>
  <si>
    <r>
      <rPr>
        <sz val="8"/>
        <rFont val="Calibri"/>
        <family val="1"/>
      </rPr>
      <t>Crew Control Faculty</t>
    </r>
  </si>
  <si>
    <r>
      <rPr>
        <sz val="8"/>
        <rFont val="Calibri"/>
        <family val="1"/>
      </rPr>
      <t>Familarization of Cab and TIMS of RS1 Train</t>
    </r>
  </si>
  <si>
    <r>
      <rPr>
        <sz val="8"/>
        <rFont val="Calibri"/>
        <family val="1"/>
      </rPr>
      <t>Familarisation with RS13 Train</t>
    </r>
  </si>
  <si>
    <r>
      <rPr>
        <sz val="8"/>
        <rFont val="Calibri"/>
        <family val="1"/>
      </rPr>
      <t xml:space="preserve">Practical for Door  Isolation , ERD operation &amp; PEA handling in
</t>
    </r>
    <r>
      <rPr>
        <sz val="8"/>
        <rFont val="Calibri"/>
        <family val="1"/>
      </rPr>
      <t>RS1 Train</t>
    </r>
  </si>
  <si>
    <r>
      <rPr>
        <sz val="8"/>
        <rFont val="Calibri"/>
        <family val="1"/>
      </rPr>
      <t>Train to Train coupling of RS1 Train</t>
    </r>
  </si>
  <si>
    <r>
      <rPr>
        <sz val="8"/>
        <rFont val="Calibri"/>
        <family val="1"/>
      </rPr>
      <t xml:space="preserve">Practical for Isolation of BIC &amp; other cut-out Cocks, Parking Brake
</t>
    </r>
    <r>
      <rPr>
        <sz val="8"/>
        <rFont val="Calibri"/>
        <family val="1"/>
      </rPr>
      <t>Isolation in RS1 Train</t>
    </r>
  </si>
  <si>
    <r>
      <rPr>
        <sz val="8"/>
        <rFont val="Calibri"/>
        <family val="1"/>
      </rPr>
      <t xml:space="preserve">Practical for  Emergency Door Deployment &amp; Restoration in RS1
</t>
    </r>
    <r>
      <rPr>
        <sz val="8"/>
        <rFont val="Calibri"/>
        <family val="1"/>
      </rPr>
      <t>Train</t>
    </r>
  </si>
  <si>
    <r>
      <rPr>
        <sz val="8"/>
        <rFont val="Calibri"/>
        <family val="1"/>
      </rPr>
      <t>Simulator</t>
    </r>
  </si>
  <si>
    <r>
      <rPr>
        <sz val="8"/>
        <rFont val="Calibri"/>
        <family val="1"/>
      </rPr>
      <t xml:space="preserve">RS1 Simulator for Train Activation/Deactivation and preparation , Selection of various modes(coupling, washing, high tractive effort
</t>
    </r>
    <r>
      <rPr>
        <sz val="8"/>
        <rFont val="Calibri"/>
        <family val="1"/>
      </rPr>
      <t>etc.)</t>
    </r>
  </si>
  <si>
    <r>
      <rPr>
        <sz val="8"/>
        <rFont val="Calibri"/>
        <family val="1"/>
      </rPr>
      <t>Simulator Faculty</t>
    </r>
  </si>
  <si>
    <r>
      <rPr>
        <sz val="8"/>
        <rFont val="Calibri"/>
        <family val="1"/>
      </rPr>
      <t xml:space="preserve">RS1 Simulator for Brake,Pneumatic System and Door system
</t>
    </r>
    <r>
      <rPr>
        <sz val="8"/>
        <rFont val="Calibri"/>
        <family val="1"/>
      </rPr>
      <t>faults</t>
    </r>
  </si>
  <si>
    <r>
      <rPr>
        <sz val="8"/>
        <rFont val="Calibri"/>
        <family val="1"/>
      </rPr>
      <t xml:space="preserve">RS1 Simulator for Power Supply System Faults &amp; Single/Double
</t>
    </r>
    <r>
      <rPr>
        <sz val="8"/>
        <rFont val="Calibri"/>
        <family val="1"/>
      </rPr>
      <t>Unit operation</t>
    </r>
  </si>
  <si>
    <r>
      <rPr>
        <sz val="8"/>
        <rFont val="Calibri"/>
        <family val="1"/>
      </rPr>
      <t>RS1 simulator for VCC Faults, PA/ PIS faults &amp; Aircon faults</t>
    </r>
  </si>
  <si>
    <r>
      <rPr>
        <sz val="8"/>
        <rFont val="Calibri"/>
        <family val="1"/>
      </rPr>
      <t>RS1 simulator for Rescue operation and Coupling Faults</t>
    </r>
  </si>
  <si>
    <r>
      <rPr>
        <sz val="8"/>
        <rFont val="Calibri"/>
        <family val="1"/>
      </rPr>
      <t>CBT</t>
    </r>
  </si>
  <si>
    <r>
      <rPr>
        <sz val="8"/>
        <rFont val="Calibri"/>
        <family val="1"/>
      </rPr>
      <t>Train Overview and Cab Equipment RS1 train</t>
    </r>
  </si>
  <si>
    <r>
      <rPr>
        <sz val="8"/>
        <rFont val="Calibri"/>
        <family val="1"/>
      </rPr>
      <t>TIMS and  of RS1 train</t>
    </r>
  </si>
  <si>
    <r>
      <rPr>
        <sz val="8"/>
        <rFont val="Calibri"/>
        <family val="1"/>
      </rPr>
      <t>Door System of RS1 train</t>
    </r>
  </si>
  <si>
    <r>
      <rPr>
        <sz val="8"/>
        <rFont val="Calibri"/>
        <family val="1"/>
      </rPr>
      <t>PA/ PIS System and Train Radio of RS1 train</t>
    </r>
  </si>
  <si>
    <r>
      <rPr>
        <sz val="8"/>
        <rFont val="Calibri"/>
        <family val="1"/>
      </rPr>
      <t>Overview of RS2 Train &amp; its sub systems</t>
    </r>
  </si>
  <si>
    <r>
      <rPr>
        <sz val="8"/>
        <rFont val="Calibri"/>
        <family val="1"/>
      </rPr>
      <t xml:space="preserve">All Internal &amp; External Equiments, Bogie, Primary Suspension &amp;
</t>
    </r>
    <r>
      <rPr>
        <sz val="8"/>
        <rFont val="Calibri"/>
        <family val="1"/>
      </rPr>
      <t>Couplers in RS2 Train</t>
    </r>
  </si>
  <si>
    <r>
      <rPr>
        <sz val="8"/>
        <rFont val="Calibri"/>
        <family val="1"/>
      </rPr>
      <t>Cab Equipments &amp; their functionality in RS2 Train.</t>
    </r>
  </si>
  <si>
    <r>
      <rPr>
        <sz val="8"/>
        <rFont val="Calibri"/>
        <family val="1"/>
      </rPr>
      <t>Sub System</t>
    </r>
  </si>
  <si>
    <r>
      <rPr>
        <sz val="8"/>
        <rFont val="Calibri"/>
        <family val="1"/>
      </rPr>
      <t>Train Control &amp; Management System in RS2 Train</t>
    </r>
  </si>
  <si>
    <r>
      <rPr>
        <sz val="8"/>
        <rFont val="Calibri"/>
        <family val="1"/>
      </rPr>
      <t>Current Collection System &amp; Propulsion System in RS2 Train</t>
    </r>
  </si>
  <si>
    <r>
      <rPr>
        <sz val="8"/>
        <rFont val="Calibri"/>
        <family val="1"/>
      </rPr>
      <t>Auxilliary &amp; Battery System and Training Lighting in RS2 Train</t>
    </r>
  </si>
  <si>
    <r>
      <rPr>
        <sz val="8"/>
        <rFont val="Calibri"/>
        <family val="1"/>
      </rPr>
      <t>Door System and Door Loop in RS2 Train</t>
    </r>
  </si>
  <si>
    <r>
      <rPr>
        <sz val="8"/>
        <rFont val="Calibri"/>
        <family val="1"/>
      </rPr>
      <t>HVAC System in RS2 Train</t>
    </r>
  </si>
  <si>
    <r>
      <rPr>
        <sz val="8"/>
        <rFont val="Calibri"/>
        <family val="1"/>
      </rPr>
      <t>PA-PIS &amp; CCTV System in RS2 Train</t>
    </r>
  </si>
  <si>
    <r>
      <rPr>
        <sz val="8"/>
        <rFont val="Calibri"/>
        <family val="1"/>
      </rPr>
      <t xml:space="preserve">Brake System and Emergency Brake Loop in RS2 Train including
</t>
    </r>
    <r>
      <rPr>
        <sz val="8"/>
        <rFont val="Calibri"/>
        <family val="1"/>
      </rPr>
      <t>Air Suplly System</t>
    </r>
  </si>
  <si>
    <r>
      <rPr>
        <sz val="8"/>
        <rFont val="Calibri"/>
        <family val="1"/>
      </rPr>
      <t>Train Control Concept in RS2 Train</t>
    </r>
  </si>
  <si>
    <r>
      <rPr>
        <sz val="8"/>
        <rFont val="Calibri"/>
        <family val="1"/>
      </rPr>
      <t>Driving Basic In RS2 Train (Ch. 1)</t>
    </r>
  </si>
  <si>
    <r>
      <rPr>
        <sz val="8"/>
        <rFont val="Calibri"/>
        <family val="1"/>
      </rPr>
      <t xml:space="preserve">RS2 Train preparation, System Status &amp; Fault Indicators and
</t>
    </r>
    <r>
      <rPr>
        <sz val="8"/>
        <rFont val="Calibri"/>
        <family val="1"/>
      </rPr>
      <t>stabling of train (Ins 24, Ch. 3&amp;4)</t>
    </r>
  </si>
  <si>
    <r>
      <rPr>
        <sz val="8"/>
        <rFont val="Calibri"/>
        <family val="1"/>
      </rPr>
      <t>Sh Amit Sharma</t>
    </r>
  </si>
  <si>
    <r>
      <rPr>
        <sz val="8"/>
        <rFont val="Calibri"/>
        <family val="1"/>
      </rPr>
      <t>Sh Sanjay</t>
    </r>
  </si>
  <si>
    <r>
      <rPr>
        <sz val="8"/>
        <rFont val="Calibri"/>
        <family val="1"/>
      </rPr>
      <t>RS2 Train Rescue Operation (Ch.7)</t>
    </r>
  </si>
  <si>
    <r>
      <rPr>
        <sz val="8"/>
        <rFont val="Calibri"/>
        <family val="1"/>
      </rPr>
      <t>Troubleshooting Concept</t>
    </r>
  </si>
  <si>
    <r>
      <rPr>
        <sz val="8"/>
        <rFont val="Calibri"/>
        <family val="1"/>
      </rPr>
      <t>RS2 Train Brake System Troubleshooting (Ch. 2)</t>
    </r>
  </si>
  <si>
    <r>
      <rPr>
        <sz val="8"/>
        <rFont val="Calibri"/>
        <family val="1"/>
      </rPr>
      <t>RS2 Train Power Supply System Failure Troubleshooting (Ch.3.1)</t>
    </r>
  </si>
  <si>
    <r>
      <rPr>
        <sz val="8"/>
        <rFont val="Calibri"/>
        <family val="1"/>
      </rPr>
      <t xml:space="preserve">RS2 Train Power Supply System Failure Troubleshooting (Ch.3.2-
</t>
    </r>
    <r>
      <rPr>
        <sz val="8"/>
        <rFont val="Calibri"/>
        <family val="1"/>
      </rPr>
      <t>3.5)</t>
    </r>
  </si>
  <si>
    <r>
      <rPr>
        <sz val="8"/>
        <rFont val="Calibri"/>
        <family val="1"/>
      </rPr>
      <t>RS2 Train Door System Failure Troubleshooting (Ch.4)</t>
    </r>
  </si>
  <si>
    <r>
      <rPr>
        <sz val="8"/>
        <rFont val="Calibri"/>
        <family val="1"/>
      </rPr>
      <t>RS2 Train Control Faults (Ch.5)</t>
    </r>
  </si>
  <si>
    <r>
      <rPr>
        <sz val="8"/>
        <rFont val="Calibri"/>
        <family val="1"/>
      </rPr>
      <t>RS2 Train TCMS Faults (Ch. 6)</t>
    </r>
  </si>
  <si>
    <r>
      <rPr>
        <sz val="8"/>
        <rFont val="Calibri"/>
        <family val="1"/>
      </rPr>
      <t xml:space="preserve">RS2 Train HVAC Faults, PIS /CCTV Faults and Coupling faults
</t>
    </r>
    <r>
      <rPr>
        <sz val="8"/>
        <rFont val="Calibri"/>
        <family val="1"/>
      </rPr>
      <t>(Ch.7,8 &amp;9)</t>
    </r>
  </si>
  <si>
    <r>
      <rPr>
        <sz val="8"/>
        <rFont val="Calibri"/>
        <family val="1"/>
      </rPr>
      <t xml:space="preserve">Procedure for 6car &amp; 8car RS2 train,Temporary Instructions and
</t>
    </r>
    <r>
      <rPr>
        <sz val="8"/>
        <rFont val="Calibri"/>
        <family val="1"/>
      </rPr>
      <t>correction slip</t>
    </r>
  </si>
  <si>
    <r>
      <rPr>
        <sz val="8"/>
        <rFont val="Calibri"/>
        <family val="1"/>
      </rPr>
      <t xml:space="preserve">Familarization of RS2 train ( Interior &amp; Exterior Equipments,
</t>
    </r>
    <r>
      <rPr>
        <sz val="8"/>
        <rFont val="Calibri"/>
        <family val="1"/>
      </rPr>
      <t>Different Panels in Saloon, Familarization of Door system, PIS/CCTV,of RS2 train.</t>
    </r>
  </si>
  <si>
    <r>
      <rPr>
        <sz val="8"/>
        <rFont val="Calibri"/>
        <family val="1"/>
      </rPr>
      <t>Familarization of Cab and TCMS of RS2 Train.</t>
    </r>
  </si>
  <si>
    <r>
      <rPr>
        <sz val="8"/>
        <rFont val="Calibri"/>
        <family val="1"/>
      </rPr>
      <t>Practical for Door Lockout,  Door Inhibit &amp; ERD operation of RS2 train</t>
    </r>
  </si>
  <si>
    <r>
      <rPr>
        <sz val="8"/>
        <rFont val="Calibri"/>
        <family val="1"/>
      </rPr>
      <t xml:space="preserve">Practical for Brake Panel Opening &amp; Restoring , Isolation of BIC,
</t>
    </r>
    <r>
      <rPr>
        <sz val="8"/>
        <rFont val="Calibri"/>
        <family val="1"/>
      </rPr>
      <t>other cut-out Cocks &amp; Parking Brake Isolation</t>
    </r>
  </si>
  <si>
    <r>
      <rPr>
        <sz val="8"/>
        <rFont val="Calibri"/>
        <family val="1"/>
      </rPr>
      <t>Detrainment Door Deployment &amp; Restoration of RS2 train</t>
    </r>
  </si>
  <si>
    <r>
      <rPr>
        <sz val="8"/>
        <rFont val="Calibri"/>
        <family val="1"/>
      </rPr>
      <t>Train to Train coupling</t>
    </r>
  </si>
  <si>
    <r>
      <rPr>
        <sz val="8"/>
        <rFont val="Calibri"/>
        <family val="1"/>
      </rPr>
      <t>RS2 Simulator for Train Activation/Deactivation and Preparation, Selection of various modes(coupling, washing &amp; high tractive .)</t>
    </r>
  </si>
  <si>
    <r>
      <rPr>
        <sz val="8"/>
        <rFont val="Calibri"/>
        <family val="1"/>
      </rPr>
      <t xml:space="preserve">RS2 Simulator for PECU Handling, Single/Double Unit operation &amp;
</t>
    </r>
    <r>
      <rPr>
        <sz val="8"/>
        <rFont val="Calibri"/>
        <family val="1"/>
      </rPr>
      <t>Traction Block Handling,</t>
    </r>
  </si>
  <si>
    <r>
      <rPr>
        <sz val="8"/>
        <rFont val="Calibri"/>
        <family val="1"/>
      </rPr>
      <t xml:space="preserve">RS2 Simulator for Brake,Pneumatic System and Door system
</t>
    </r>
    <r>
      <rPr>
        <sz val="8"/>
        <rFont val="Calibri"/>
        <family val="1"/>
      </rPr>
      <t>faults</t>
    </r>
  </si>
  <si>
    <r>
      <rPr>
        <sz val="8"/>
        <rFont val="Calibri"/>
        <family val="1"/>
      </rPr>
      <t>RS2 Simulator for Power Supply System Faults</t>
    </r>
  </si>
  <si>
    <r>
      <rPr>
        <sz val="8"/>
        <rFont val="Calibri"/>
        <family val="1"/>
      </rPr>
      <t xml:space="preserve">RS2 simulator for Train Control Faults, TCMS faults, PIS/CCTV
</t>
    </r>
    <r>
      <rPr>
        <sz val="8"/>
        <rFont val="Calibri"/>
        <family val="1"/>
      </rPr>
      <t>faults &amp; HVAC faults</t>
    </r>
  </si>
  <si>
    <r>
      <rPr>
        <sz val="8"/>
        <rFont val="Calibri"/>
        <family val="1"/>
      </rPr>
      <t>RS2 simulator for Rescue operation and Coupling Faults</t>
    </r>
  </si>
  <si>
    <r>
      <rPr>
        <sz val="8"/>
        <rFont val="Calibri"/>
        <family val="1"/>
      </rPr>
      <t>FE of RS2 train</t>
    </r>
  </si>
  <si>
    <r>
      <rPr>
        <sz val="8"/>
        <rFont val="Calibri"/>
        <family val="1"/>
      </rPr>
      <t>TCMS,and OB communication of RS2 train</t>
    </r>
  </si>
  <si>
    <r>
      <rPr>
        <sz val="8"/>
        <rFont val="Calibri"/>
        <family val="1"/>
      </rPr>
      <t>Door system, Brake system of RS2 train</t>
    </r>
  </si>
  <si>
    <r>
      <rPr>
        <sz val="8"/>
        <rFont val="Calibri"/>
        <family val="1"/>
      </rPr>
      <t>SOP Train Operation &amp; Practicals</t>
    </r>
  </si>
  <si>
    <r>
      <rPr>
        <sz val="8"/>
        <rFont val="Calibri"/>
        <family val="1"/>
      </rPr>
      <t>FAR/TR/Instructions  (3/1/2)</t>
    </r>
  </si>
  <si>
    <r>
      <rPr>
        <sz val="8"/>
        <rFont val="Arial MT"/>
        <family val="2"/>
      </rPr>
      <t>Sh R K Taneja</t>
    </r>
  </si>
  <si>
    <r>
      <rPr>
        <sz val="8"/>
        <rFont val="Calibri"/>
        <family val="1"/>
      </rPr>
      <t>RS1 Simulator for Communication &amp; Random Troubleshooting, Rescue Operation &amp; FAR /CBT for all RS Modules</t>
    </r>
  </si>
  <si>
    <r>
      <rPr>
        <sz val="8"/>
        <rFont val="Calibri"/>
        <family val="1"/>
      </rPr>
      <t>RS2 Simulator for Communication &amp; Random Troubleshooting, Rescue Operation &amp; FAR /CBT for all RS Modules</t>
    </r>
  </si>
  <si>
    <r>
      <rPr>
        <sz val="8"/>
        <rFont val="Calibri"/>
        <family val="1"/>
      </rPr>
      <t>SOP Train Operations (Ch-1,2,3,4,5)</t>
    </r>
  </si>
  <si>
    <r>
      <rPr>
        <sz val="8"/>
        <rFont val="Arial MT"/>
        <family val="2"/>
      </rPr>
      <t>Sh Surender</t>
    </r>
  </si>
  <si>
    <r>
      <rPr>
        <sz val="8"/>
        <rFont val="Arial MT"/>
        <family val="2"/>
      </rPr>
      <t>Sh Lokesh</t>
    </r>
  </si>
  <si>
    <r>
      <rPr>
        <sz val="8"/>
        <rFont val="Calibri"/>
        <family val="1"/>
      </rPr>
      <t>SOP Train Operations (Ch-6, 7,8,9) &amp; Addendums</t>
    </r>
  </si>
  <si>
    <r>
      <rPr>
        <sz val="8"/>
        <rFont val="Calibri"/>
        <family val="1"/>
      </rPr>
      <t>Train Operation in Degarded Modes (RM, ROS, Cut Out)</t>
    </r>
  </si>
  <si>
    <r>
      <rPr>
        <sz val="8"/>
        <rFont val="Calibri"/>
        <family val="1"/>
      </rPr>
      <t xml:space="preserve">Safety Circular No.
</t>
    </r>
    <r>
      <rPr>
        <sz val="8"/>
        <rFont val="Calibri"/>
        <family val="1"/>
      </rPr>
      <t>7 A/B/C and SC-25</t>
    </r>
  </si>
  <si>
    <r>
      <rPr>
        <sz val="8"/>
        <rFont val="Calibri"/>
        <family val="1"/>
      </rPr>
      <t xml:space="preserve">Role play on situations of
</t>
    </r>
    <r>
      <rPr>
        <sz val="8"/>
        <rFont val="Calibri"/>
        <family val="1"/>
      </rPr>
      <t>SC- 7 A/B/C and SC-25</t>
    </r>
  </si>
  <si>
    <r>
      <rPr>
        <sz val="8"/>
        <rFont val="Calibri"/>
        <family val="1"/>
      </rPr>
      <t>Case study 1-9  and new issue if any</t>
    </r>
  </si>
  <si>
    <r>
      <rPr>
        <sz val="8"/>
        <rFont val="Calibri"/>
        <family val="1"/>
      </rPr>
      <t xml:space="preserve">Role play on situations of
</t>
    </r>
    <r>
      <rPr>
        <sz val="8"/>
        <rFont val="Calibri"/>
        <family val="1"/>
      </rPr>
      <t>Case study 1-9</t>
    </r>
  </si>
  <si>
    <r>
      <rPr>
        <sz val="8"/>
        <rFont val="Calibri"/>
        <family val="1"/>
      </rPr>
      <t>Simulator including revision of Safety Circular 7 and related FARs (Train Operation in Non-ATP Modes)</t>
    </r>
  </si>
  <si>
    <r>
      <rPr>
        <sz val="8"/>
        <rFont val="Calibri"/>
        <family val="1"/>
      </rPr>
      <t>Train Operation in Degraded Modes Exam</t>
    </r>
  </si>
  <si>
    <r>
      <rPr>
        <sz val="8"/>
        <rFont val="Calibri"/>
        <family val="1"/>
      </rPr>
      <t>Feedback</t>
    </r>
  </si>
  <si>
    <r>
      <rPr>
        <sz val="8"/>
        <rFont val="Calibri"/>
        <family val="1"/>
      </rPr>
      <t>Feedback Session</t>
    </r>
  </si>
  <si>
    <r>
      <rPr>
        <sz val="8"/>
        <rFont val="Calibri"/>
        <family val="1"/>
      </rPr>
      <t>Introduction to  signalling, its equipments &amp; marker boards</t>
    </r>
  </si>
  <si>
    <r>
      <rPr>
        <sz val="8"/>
        <rFont val="Calibri"/>
        <family val="1"/>
      </rPr>
      <t>Role of signlling in railway operation, Familiarization with various signalling equipments i.e. signals, point, point machine, track circuit, Authorization Push Button in Depot, ESP, Types of signals and their meanings of aspects Functions of each signalling equipment.Familarisation with different marker board and their use.</t>
    </r>
  </si>
  <si>
    <r>
      <rPr>
        <sz val="7.5"/>
        <rFont val="Verdana"/>
        <family val="2"/>
      </rPr>
      <t>Signalling Faculty</t>
    </r>
  </si>
  <si>
    <r>
      <rPr>
        <sz val="8"/>
        <rFont val="Calibri"/>
        <family val="1"/>
      </rPr>
      <t>Interlocking</t>
    </r>
  </si>
  <si>
    <r>
      <rPr>
        <sz val="8"/>
        <rFont val="Calibri"/>
        <family val="1"/>
      </rPr>
      <t>Define route, TORR, normal direction route, reverse direction route, opposite route, conflicting route, , birth circuit, first TC, last TC, fouling point, clearance point, approach section, isolation, approach locking, interlocking</t>
    </r>
  </si>
  <si>
    <r>
      <rPr>
        <sz val="8"/>
        <rFont val="Calibri"/>
        <family val="1"/>
      </rPr>
      <t xml:space="preserve">Familiarization with signalling equipments and marker board
</t>
    </r>
    <r>
      <rPr>
        <sz val="8"/>
        <rFont val="Calibri"/>
        <family val="1"/>
      </rPr>
      <t>(Practical)+CBT</t>
    </r>
  </si>
  <si>
    <r>
      <rPr>
        <sz val="8"/>
        <rFont val="Calibri"/>
        <family val="1"/>
      </rPr>
      <t>Practical familiarization with various signalling equipments i.e. signals, point, point machine, track circuit</t>
    </r>
  </si>
  <si>
    <r>
      <rPr>
        <sz val="8"/>
        <rFont val="Calibri"/>
        <family val="1"/>
      </rPr>
      <t>Introduction to ATC and ATP Hardware Familarisation</t>
    </r>
  </si>
  <si>
    <r>
      <rPr>
        <sz val="8"/>
        <rFont val="Calibri"/>
        <family val="1"/>
      </rPr>
      <t xml:space="preserve">Define train control, Difference between Manual train control system and ATC system.  Define subsystem of ATC (ATP &amp; ATO). Explain working principal of ATP i.e. distance to go.Define terms related to ATC system.Explain overall signalling and train control working with the help of block diagram.  Familiarization and functional details of  various track side equipments of ATP i.e. beacons -RB,MTIB,STIB &amp; DLR, Track side ATP cubicles.
</t>
    </r>
    <r>
      <rPr>
        <sz val="8"/>
        <rFont val="Calibri"/>
        <family val="1"/>
      </rPr>
      <t>Familiarization and functional details of  various train borne equipments i.e. pickup coil, DMI,Odo meter, manual redundancy selector switch, SCS counter, SCS switch, ATP MCBs &amp; ATP train borne Cubicle.</t>
    </r>
  </si>
  <si>
    <r>
      <rPr>
        <sz val="8"/>
        <rFont val="Calibri"/>
        <family val="1"/>
      </rPr>
      <t>DMI Familiarization</t>
    </r>
  </si>
  <si>
    <r>
      <rPr>
        <sz val="8"/>
        <rFont val="Calibri"/>
        <family val="1"/>
      </rPr>
      <t>Requirement of DMI, Introduction to various areas on DMI, Familarisation with various keys available on DMI &amp; their function, Explain various indications that appears on DMI and their meaning</t>
    </r>
  </si>
  <si>
    <r>
      <rPr>
        <sz val="8"/>
        <rFont val="Calibri"/>
        <family val="1"/>
      </rPr>
      <t>Driving mode selection &amp; Safety features of ATC</t>
    </r>
  </si>
  <si>
    <r>
      <rPr>
        <sz val="8"/>
        <rFont val="Calibri"/>
        <family val="1"/>
      </rPr>
      <t>Explain all the driving modes, their selection procedure  &amp; Related indications on DMI.  Explain various safety features provided by ATC system i.e. Speed monitoring, rollback monitoring, reverse monitoring, door authorisation,Speed Restriction and  passenger safety: ESP activation,</t>
    </r>
  </si>
  <si>
    <r>
      <rPr>
        <sz val="8"/>
        <rFont val="Calibri"/>
        <family val="1"/>
      </rPr>
      <t xml:space="preserve">Compare all the driving modes on the basis of safety features
</t>
    </r>
    <r>
      <rPr>
        <sz val="8"/>
        <rFont val="Calibri"/>
        <family val="1"/>
      </rPr>
      <t>provided by ATC system</t>
    </r>
  </si>
  <si>
    <r>
      <rPr>
        <sz val="8"/>
        <rFont val="Calibri"/>
        <family val="1"/>
      </rPr>
      <t xml:space="preserve">Define degraded modes of train operation i.e. ROS, RM &amp; Cut out
</t>
    </r>
    <r>
      <rPr>
        <sz val="8"/>
        <rFont val="Calibri"/>
        <family val="1"/>
      </rPr>
      <t>and explain where these modes are used.</t>
    </r>
  </si>
  <si>
    <r>
      <rPr>
        <sz val="8"/>
        <rFont val="Calibri"/>
        <family val="1"/>
      </rPr>
      <t xml:space="preserve">Define private number, Explain precautions to be taken by TO in
</t>
    </r>
    <r>
      <rPr>
        <sz val="8"/>
        <rFont val="Calibri"/>
        <family val="1"/>
      </rPr>
      <t>degraded mode</t>
    </r>
  </si>
  <si>
    <r>
      <rPr>
        <sz val="8"/>
        <rFont val="Calibri"/>
        <family val="1"/>
      </rPr>
      <t>Introduction to ATO  &amp; train operation in ATO mode</t>
    </r>
  </si>
  <si>
    <r>
      <rPr>
        <sz val="8"/>
        <rFont val="Calibri"/>
        <family val="1"/>
      </rPr>
      <t xml:space="preserve">Familiarization with ATO &amp; its features. Explain hardware used in ATO from operation point of view i.e. ATO position of mode selector and use of start button. Explain Circular related to ATO
</t>
    </r>
    <r>
      <rPr>
        <sz val="8"/>
        <rFont val="Calibri"/>
        <family val="1"/>
      </rPr>
      <t>mode.</t>
    </r>
  </si>
  <si>
    <r>
      <rPr>
        <sz val="7.5"/>
        <rFont val="Verdana"/>
        <family val="2"/>
      </rPr>
      <t>Sh R K Taneja</t>
    </r>
  </si>
  <si>
    <r>
      <rPr>
        <sz val="8"/>
        <rFont val="Calibri"/>
        <family val="1"/>
      </rPr>
      <t>Train Operation in mainline &amp; Depot &amp;DMI familiarization</t>
    </r>
  </si>
  <si>
    <r>
      <rPr>
        <sz val="8"/>
        <rFont val="Calibri"/>
        <family val="1"/>
      </rPr>
      <t xml:space="preserve">Explain various start-Up indication i.e. During startup &amp; After successful startup, Define- initialization, localization, Delocalization and Explain Stationary &amp; Moving  Train
</t>
    </r>
    <r>
      <rPr>
        <sz val="8"/>
        <rFont val="Calibri"/>
        <family val="1"/>
      </rPr>
      <t>Initialization and their related indications.</t>
    </r>
  </si>
  <si>
    <r>
      <rPr>
        <sz val="7.5"/>
        <rFont val="Verdana"/>
        <family val="2"/>
      </rPr>
      <t>Sh K R Ranjan</t>
    </r>
  </si>
  <si>
    <r>
      <rPr>
        <sz val="8"/>
        <rFont val="Calibri"/>
        <family val="1"/>
      </rPr>
      <t xml:space="preserve">Indications on DMI during over speed, station stopping, ESP activation, turn back on main line and various indications related to train regulation i.e. Skip station, Keep door close and Train
</t>
    </r>
    <r>
      <rPr>
        <sz val="8"/>
        <rFont val="Calibri"/>
        <family val="1"/>
      </rPr>
      <t>Hold.</t>
    </r>
  </si>
  <si>
    <r>
      <rPr>
        <sz val="8"/>
        <rFont val="Calibri"/>
        <family val="1"/>
      </rPr>
      <t>Indications on DMI during Depot exit &amp; Depot Entry</t>
    </r>
  </si>
  <si>
    <r>
      <rPr>
        <sz val="8"/>
        <rFont val="Calibri"/>
        <family val="1"/>
      </rPr>
      <t>ATP Troubleshooting</t>
    </r>
  </si>
  <si>
    <r>
      <rPr>
        <sz val="8"/>
        <rFont val="Calibri"/>
        <family val="1"/>
      </rPr>
      <t>Explain various ATP failure &amp; their troubleshooting steps defined in ATP troubleshooting chapter 8.0 (ii) of Train Operator's Handbook on troubleshooting. Explain Chapter 8.0 (i) of Train Operator's Handbook on troubleshooting</t>
    </r>
  </si>
  <si>
    <r>
      <rPr>
        <sz val="7.5"/>
        <rFont val="Verdana"/>
        <family val="2"/>
      </rPr>
      <t>Sh Lokesh</t>
    </r>
  </si>
  <si>
    <r>
      <rPr>
        <sz val="8"/>
        <rFont val="Calibri"/>
        <family val="1"/>
      </rPr>
      <t xml:space="preserve">Define steps for switching off ATP MCB &amp; steps for resetting ATP
</t>
    </r>
    <r>
      <rPr>
        <sz val="8"/>
        <rFont val="Calibri"/>
        <family val="1"/>
      </rPr>
      <t>MCB</t>
    </r>
  </si>
  <si>
    <r>
      <rPr>
        <sz val="8"/>
        <rFont val="Calibri"/>
        <family val="1"/>
      </rPr>
      <t xml:space="preserve">ATP Hardware Familasrisation, DMI indication familiarization and Driving Mode Selection (Practical)
</t>
    </r>
    <r>
      <rPr>
        <sz val="8"/>
        <rFont val="Calibri"/>
        <family val="1"/>
      </rPr>
      <t>+CBT</t>
    </r>
  </si>
  <si>
    <r>
      <rPr>
        <sz val="8"/>
        <rFont val="Calibri"/>
        <family val="1"/>
      </rPr>
      <t>Familiarization various track side equipments of ATP i.e. beacons - RB,MTIB,STIB &amp; DLR, Track side ATP cubicles. Familiarization various train borne  equipments i.e. pickup coil, DMI,Odo meter, manual redundancy selector switch, SCS counter, SCS switch, ATP MCBs &amp; ATP trainborne Cubicle.</t>
    </r>
  </si>
  <si>
    <r>
      <rPr>
        <sz val="8"/>
        <rFont val="Calibri"/>
        <family val="1"/>
      </rPr>
      <t xml:space="preserve">Show driving mode selection in train &amp; their related indications
</t>
    </r>
    <r>
      <rPr>
        <sz val="8"/>
        <rFont val="Calibri"/>
        <family val="1"/>
      </rPr>
      <t>on DMI</t>
    </r>
  </si>
  <si>
    <r>
      <rPr>
        <sz val="8"/>
        <rFont val="Calibri"/>
        <family val="1"/>
      </rPr>
      <t>Show train initialisation indication on train, explain door opening procedure in standby mode and show ATP MCB resetting steps</t>
    </r>
  </si>
  <si>
    <r>
      <rPr>
        <sz val="8"/>
        <rFont val="Calibri"/>
        <family val="1"/>
      </rPr>
      <t xml:space="preserve">ATP Hardware Familarisation &amp;
</t>
    </r>
    <r>
      <rPr>
        <sz val="8"/>
        <rFont val="Calibri"/>
        <family val="1"/>
      </rPr>
      <t>HMI Familarisation</t>
    </r>
  </si>
  <si>
    <r>
      <rPr>
        <sz val="8"/>
        <rFont val="Calibri"/>
        <family val="1"/>
      </rPr>
      <t xml:space="preserve">Familiarization and functional details of  various trackside
</t>
    </r>
    <r>
      <rPr>
        <sz val="8"/>
        <rFont val="Calibri"/>
        <family val="1"/>
      </rPr>
      <t>equipments of ATP i.e. Loops &amp; trackside ATP cubicle.</t>
    </r>
  </si>
  <si>
    <r>
      <rPr>
        <sz val="7.5"/>
        <rFont val="Verdana"/>
        <family val="2"/>
      </rPr>
      <t>Sh S K Pandey</t>
    </r>
  </si>
  <si>
    <r>
      <rPr>
        <sz val="7.5"/>
        <rFont val="Verdana"/>
        <family val="2"/>
      </rPr>
      <t>Sh Ashwani Gupta</t>
    </r>
  </si>
  <si>
    <r>
      <rPr>
        <sz val="8"/>
        <rFont val="Calibri"/>
        <family val="1"/>
      </rPr>
      <t xml:space="preserve">Explain all driving modes ,their selection procedure &amp; related
</t>
    </r>
    <r>
      <rPr>
        <sz val="8"/>
        <rFont val="Calibri"/>
        <family val="1"/>
      </rPr>
      <t>indications on HMI.</t>
    </r>
  </si>
  <si>
    <r>
      <rPr>
        <sz val="8"/>
        <rFont val="Calibri"/>
        <family val="1"/>
      </rPr>
      <t>Signalling Faculty</t>
    </r>
  </si>
  <si>
    <r>
      <rPr>
        <sz val="8"/>
        <rFont val="Calibri"/>
        <family val="1"/>
      </rPr>
      <t>Define degraded modes of train operation i.e. ROS, RM &amp; Cut out and explain where these modes are used. Define private number, Explain precautions to be taken by TO in degraded mode</t>
    </r>
  </si>
  <si>
    <r>
      <rPr>
        <sz val="8"/>
        <rFont val="Calibri"/>
        <family val="1"/>
      </rPr>
      <t>Train Operation In main Line and Depot</t>
    </r>
  </si>
  <si>
    <r>
      <rPr>
        <sz val="8"/>
        <rFont val="Calibri"/>
        <family val="1"/>
      </rPr>
      <t xml:space="preserve">Explain indications that appear on HMI at the time of startup &amp;
</t>
    </r>
    <r>
      <rPr>
        <sz val="8"/>
        <rFont val="Calibri"/>
        <family val="1"/>
      </rPr>
      <t>shutdown</t>
    </r>
  </si>
  <si>
    <r>
      <rPr>
        <sz val="8"/>
        <rFont val="Calibri"/>
        <family val="1"/>
      </rPr>
      <t xml:space="preserve">Explain all the indications that can come on HMI during Over speed, Station stopping, EB applications, depot entry &amp; Depot
</t>
    </r>
    <r>
      <rPr>
        <sz val="8"/>
        <rFont val="Calibri"/>
        <family val="1"/>
      </rPr>
      <t>exit.</t>
    </r>
  </si>
  <si>
    <r>
      <rPr>
        <sz val="8"/>
        <rFont val="Calibri"/>
        <family val="1"/>
      </rPr>
      <t>Explain various failure &amp; their troubleshooting steps defined in ATP troubleshooting chapter 8.0 (iii). Define steps for Switching of MS to OFF &amp; then to ATP and steps for resetting ATP MCBs</t>
    </r>
  </si>
  <si>
    <r>
      <rPr>
        <sz val="8"/>
        <rFont val="Calibri"/>
        <family val="1"/>
      </rPr>
      <t>ATP trackside  equipments, trainborne equipments  Practical at YBD/NFD)</t>
    </r>
  </si>
  <si>
    <r>
      <rPr>
        <sz val="8"/>
        <rFont val="Calibri"/>
        <family val="1"/>
      </rPr>
      <t>Familiarization with  various trackside equipments of ATP i.e. Loops &amp; trackside ATP cubicle. Familiarization with  various train borne equipments of ATP i.e. HMI, Antennas, Odometer, ATP MCBs, Redundancy Selector Switch, ROS button, SCS Switch, SCS Counter &amp; train borne ATP cubicle.</t>
    </r>
  </si>
  <si>
    <r>
      <rPr>
        <sz val="8"/>
        <rFont val="Calibri"/>
        <family val="1"/>
      </rPr>
      <t>HMI indication familiarization including initialisation indication and driving mode selection Practical at YBD/NFD)</t>
    </r>
  </si>
  <si>
    <r>
      <rPr>
        <sz val="8"/>
        <rFont val="Calibri"/>
        <family val="1"/>
      </rPr>
      <t>Explain HMI indications and driving mode selection steps</t>
    </r>
  </si>
  <si>
    <r>
      <rPr>
        <sz val="8"/>
        <rFont val="Calibri"/>
        <family val="1"/>
      </rPr>
      <t xml:space="preserve">Introduce various failures related ATP on simulator &amp; Explain their troubleshooting steps including steps for switching off MS
</t>
    </r>
    <r>
      <rPr>
        <sz val="8"/>
        <rFont val="Calibri"/>
        <family val="1"/>
      </rPr>
      <t>and steps for resetting ATP MCB.</t>
    </r>
  </si>
  <si>
    <r>
      <rPr>
        <sz val="8"/>
        <rFont val="Calibri"/>
        <family val="1"/>
      </rPr>
      <t>Feedback by batch coordinator.</t>
    </r>
  </si>
  <si>
    <t>SC-8 A, SC-27 A&amp;B, SC-35, 35A</t>
  </si>
  <si>
    <t>DMRC Contigency Plan (Fire) Reference : Revised Hand book for dealing with Serious Incidents/Accidents/Disasters</t>
  </si>
  <si>
    <r>
      <rPr>
        <sz val="11"/>
        <color theme="1"/>
        <rFont val="Aptos Narrow"/>
        <family val="1"/>
        <scheme val="minor"/>
      </rPr>
      <t>Telecom Faculty / DMRA</t>
    </r>
  </si>
  <si>
    <t>Give No. of days per week</t>
  </si>
  <si>
    <t xml:space="preserve"> </t>
  </si>
  <si>
    <t>Handportable Theory</t>
  </si>
  <si>
    <t>TEACHER NAME</t>
  </si>
  <si>
    <t>Handportable Theory &amp; Train Radio Theory</t>
  </si>
  <si>
    <t>Handportable Practical &amp; Train Radio Practical</t>
  </si>
  <si>
    <t>Emg. Comm.</t>
  </si>
  <si>
    <t>Communication practice by Handportable/Train radio</t>
  </si>
  <si>
    <t>Feed Back</t>
  </si>
  <si>
    <t>Sh D K katiyar</t>
  </si>
  <si>
    <t>SC-7 (A/B/C), SC-25</t>
  </si>
  <si>
    <t>SNO.</t>
  </si>
  <si>
    <t>TOPIC LIST</t>
  </si>
  <si>
    <t>STAFF CODE</t>
  </si>
  <si>
    <t>Doc No: QFF/DMRA/MR/021</t>
  </si>
  <si>
    <r>
      <t xml:space="preserve">DELHI METRO RAIL ACADEMY
</t>
    </r>
    <r>
      <rPr>
        <sz val="14"/>
        <rFont val="Century Gothic"/>
        <family val="2"/>
      </rPr>
      <t>METRO TRAIN DEPOT, SHASTRI PARK, DELHI-53</t>
    </r>
  </si>
  <si>
    <t>Date:14.03.2017</t>
  </si>
  <si>
    <t>QUALITY FORMS &amp; FORMATS</t>
  </si>
  <si>
    <t>Rev:03</t>
  </si>
  <si>
    <t xml:space="preserve">  WEEKLY TRAINING PROGRAM</t>
  </si>
  <si>
    <t>Date:10.12.2019</t>
  </si>
  <si>
    <t xml:space="preserve">                                      ISO 9001: 2015 Certified         </t>
  </si>
  <si>
    <t>Date:</t>
  </si>
  <si>
    <t xml:space="preserve">Batch : </t>
  </si>
  <si>
    <t xml:space="preserve">    Batch Coordinator: </t>
  </si>
  <si>
    <t>Module:</t>
  </si>
  <si>
    <t>Week:</t>
  </si>
  <si>
    <t>Date</t>
  </si>
  <si>
    <t>Day</t>
  </si>
  <si>
    <t>09:15-10:15</t>
  </si>
  <si>
    <t>10:30-11:30</t>
  </si>
  <si>
    <t>11:30-12:30</t>
  </si>
  <si>
    <t>13:30-14:30</t>
  </si>
  <si>
    <t>14:45-15:45</t>
  </si>
  <si>
    <t>15:45-16:45</t>
  </si>
  <si>
    <t>16:45-17:30</t>
  </si>
  <si>
    <t>17:45- 18:45</t>
  </si>
  <si>
    <t>Others</t>
  </si>
  <si>
    <t>0905-0915-Assembly</t>
  </si>
  <si>
    <t>1015-1030-Tea Break</t>
  </si>
  <si>
    <t>1230-1330-Lunch Break</t>
  </si>
  <si>
    <t>1430-1445-Tea Break</t>
  </si>
  <si>
    <t>Sessions and break timings subject to change</t>
  </si>
  <si>
    <t>Prepared by:Lecturer-</t>
  </si>
  <si>
    <t>Checked by:Asst/Associate Professor-</t>
  </si>
  <si>
    <t>Approved by:Professor-</t>
  </si>
  <si>
    <t>Note:</t>
  </si>
  <si>
    <t>A.Please bring soft/hard copy of the lecture and handover to Batch Co-od.</t>
  </si>
  <si>
    <t>B.Kindly sign the training register after delivering the lecture</t>
  </si>
  <si>
    <t>C. Expected no. of trainees are ………..</t>
  </si>
  <si>
    <t>C/-</t>
  </si>
  <si>
    <t>Dean : for kind information please.</t>
  </si>
  <si>
    <t>All concerned.</t>
  </si>
  <si>
    <t xml:space="preserve">ISO 9001: 2015 Certified         </t>
  </si>
  <si>
    <t>WEEKLY TRAINING PROGRAM</t>
  </si>
  <si>
    <t>Global:</t>
  </si>
  <si>
    <t>Count:</t>
  </si>
  <si>
    <t>SELECT THIS WEEK TOPICS</t>
  </si>
  <si>
    <t>Click To See/Edit The Module</t>
  </si>
  <si>
    <t>Click To Upload Module</t>
  </si>
  <si>
    <t>Click To Fetch Initial Topic (Optional)</t>
  </si>
  <si>
    <t>Click To Go For Teacher Selection</t>
  </si>
  <si>
    <t>Click To Refresh Topic List</t>
  </si>
  <si>
    <t xml:space="preserve">                         ISO 9001: 2015 Certified         </t>
  </si>
  <si>
    <t xml:space="preserve">Count: </t>
  </si>
  <si>
    <t>I</t>
  </si>
  <si>
    <t>II</t>
  </si>
  <si>
    <t>III</t>
  </si>
  <si>
    <t>IV</t>
  </si>
  <si>
    <t>V</t>
  </si>
  <si>
    <t>VI</t>
  </si>
  <si>
    <t>VII</t>
  </si>
  <si>
    <t>VIII</t>
  </si>
  <si>
    <t>MRGR 2013-III (Signals and Control)</t>
  </si>
  <si>
    <t>MRGR 2013-IV (Speed &amp; Working of Trains)</t>
  </si>
  <si>
    <t>MRGR 2013-VI (Control and Working of Staions)</t>
  </si>
  <si>
    <t>MRGR 2013-VII  (Accident and Unusual Occurrences)</t>
  </si>
  <si>
    <t>MRGR 2013-VIII (Systems of Working) &amp; MRGR 2013-XII (Other
Systems of Working)</t>
  </si>
  <si>
    <t>MRGR 2013-IX (Single Line Working)</t>
  </si>
  <si>
    <t>MRGR 2013-XI (Power Supply and Traction Arrangement)</t>
  </si>
  <si>
    <t>SC-31, SC-36, SC-39 &amp; SC-40</t>
  </si>
  <si>
    <t>Sh Lokesh Kumar</t>
  </si>
  <si>
    <t>9:15-10:15</t>
  </si>
  <si>
    <t>8:30-9:30</t>
  </si>
  <si>
    <t>9:30-10:30</t>
  </si>
  <si>
    <t>14:30-15:30</t>
  </si>
  <si>
    <t>15:30-16:30</t>
  </si>
  <si>
    <t>16:30-17:30</t>
  </si>
  <si>
    <t>YOGA AND FEEDBACK</t>
  </si>
  <si>
    <t xml:space="preserve">I </t>
  </si>
  <si>
    <t>Yoga and Feedback</t>
  </si>
  <si>
    <r>
      <rPr>
        <sz val="8"/>
        <rFont val="Calibri"/>
        <family val="1"/>
      </rPr>
      <t>Route Learning</t>
    </r>
  </si>
  <si>
    <r>
      <rPr>
        <sz val="8"/>
        <rFont val="Calibri"/>
        <family val="1"/>
      </rPr>
      <t>Test Track Driving</t>
    </r>
  </si>
  <si>
    <r>
      <rPr>
        <sz val="8"/>
        <rFont val="Calibri"/>
        <family val="1"/>
      </rPr>
      <t>Simulator Driving</t>
    </r>
  </si>
  <si>
    <t xml:space="preserve">  </t>
  </si>
  <si>
    <t>Sh Gaurav Saxena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</si>
</sst>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color theme="1"/>
      <name val="Aptos Narrow"/>
      <family val="2"/>
      <scheme val="minor"/>
    </font>
    <font>
      <sz val="8"/>
      <name val="Aptos Narrow"/>
      <family val="2"/>
      <scheme val="minor"/>
    </font>
    <font>
      <sz val="8"/>
      <color rgb="FF000000"/>
      <name val="Segoe UI"/>
      <family val="2"/>
    </font>
    <font>
      <sz val="11"/>
      <color theme="1"/>
      <name val="Aptos Narrow"/>
      <family val="2"/>
      <scheme val="minor"/>
    </font>
    <font>
      <sz val="11"/>
      <color theme="0" tint="-0.249977111117893"/>
      <name val="Aptos Narrow"/>
      <family val="2"/>
      <scheme val="minor"/>
    </font>
    <font>
      <b/>
      <u/>
      <vertAlign val="superscript"/>
      <sz val="16"/>
      <color rgb="FF000000"/>
      <name val="Aptos Narrow"/>
      <family val="2"/>
    </font>
    <font>
      <b/>
      <sz val="7.5"/>
      <name val="Calibri"/>
      <family val="2"/>
    </font>
    <font>
      <b/>
      <sz val="7.5"/>
      <name val="Calibri"/>
      <family val="1"/>
    </font>
    <font>
      <b/>
      <sz val="8"/>
      <name val="Calibri"/>
      <family val="2"/>
    </font>
    <font>
      <b/>
      <sz val="8"/>
      <name val="Calibri"/>
      <family val="1"/>
    </font>
    <font>
      <sz val="8"/>
      <name val="Calibri"/>
      <family val="2"/>
    </font>
    <font>
      <sz val="8"/>
      <name val="Calibri"/>
      <family val="1"/>
    </font>
    <font>
      <sz val="8"/>
      <color rgb="FF000000"/>
      <name val="Calibri"/>
      <family val="2"/>
    </font>
    <font>
      <u/>
      <sz val="8"/>
      <name val="Calibri"/>
      <family val="1"/>
    </font>
    <font>
      <sz val="8"/>
      <color rgb="FF000000"/>
      <name val="Arial MT"/>
      <family val="2"/>
    </font>
    <font>
      <sz val="8"/>
      <name val="Arial MT"/>
    </font>
    <font>
      <sz val="8"/>
      <name val="Arial MT"/>
      <family val="2"/>
    </font>
    <font>
      <sz val="7.5"/>
      <name val="Verdana"/>
      <family val="2"/>
    </font>
    <font>
      <sz val="11"/>
      <color theme="1"/>
      <name val="Aptos Narrow"/>
      <family val="1"/>
      <scheme val="minor"/>
    </font>
    <font>
      <sz val="11"/>
      <color theme="6" tint="0.59999389629810485"/>
      <name val="Aptos Narrow"/>
      <family val="2"/>
      <scheme val="minor"/>
    </font>
    <font>
      <sz val="11"/>
      <color theme="9" tint="0.39997558519241921"/>
      <name val="Aptos Narrow"/>
      <family val="2"/>
      <scheme val="minor"/>
    </font>
    <font>
      <b/>
      <u/>
      <sz val="11"/>
      <color rgb="FF000000"/>
      <name val="Aptos Narrow"/>
      <family val="2"/>
    </font>
    <font>
      <sz val="14"/>
      <name val="Century Gothic"/>
      <family val="2"/>
    </font>
    <font>
      <b/>
      <sz val="20"/>
      <name val="Century Gothic"/>
      <family val="2"/>
    </font>
    <font>
      <b/>
      <sz val="18"/>
      <name val="Century Gothic"/>
      <family val="2"/>
    </font>
    <font>
      <b/>
      <sz val="16"/>
      <name val="Century Gothic"/>
      <family val="2"/>
    </font>
    <font>
      <b/>
      <sz val="12"/>
      <name val="Century Gothic"/>
      <family val="2"/>
    </font>
    <font>
      <b/>
      <sz val="14"/>
      <name val="Century Gothic"/>
      <family val="2"/>
    </font>
    <font>
      <b/>
      <sz val="12"/>
      <color theme="1"/>
      <name val="Century Gothic"/>
      <family val="2"/>
    </font>
    <font>
      <sz val="12"/>
      <name val="Century Gothic"/>
      <family val="2"/>
    </font>
    <font>
      <b/>
      <u/>
      <sz val="12"/>
      <color rgb="FF000000"/>
      <name val="Aptos Narrow"/>
      <family val="2"/>
    </font>
    <font>
      <sz val="11"/>
      <color theme="9" tint="0.79998168889431442"/>
      <name val="Aptos Narrow"/>
      <family val="2"/>
      <scheme val="minor"/>
    </font>
    <font>
      <sz val="11"/>
      <name val="Aptos Narrow"/>
      <family val="2"/>
      <scheme val="minor"/>
    </font>
    <font>
      <b/>
      <sz val="11"/>
      <color theme="1"/>
      <name val="Aptos Narrow"/>
      <family val="2"/>
      <scheme val="minor"/>
    </font>
  </fonts>
  <fills count="5">
    <fill>
      <patternFill patternType="none"/>
    </fill>
    <fill>
      <patternFill patternType="gray125"/>
    </fill>
    <fill>
      <patternFill patternType="solid">
        <fgColor theme="6" tint="0.59999389629810485"/>
        <bgColor indexed="65"/>
      </patternFill>
    </fill>
    <fill>
      <patternFill patternType="solid">
        <fgColor rgb="FFC3D69A"/>
      </patternFill>
    </fill>
    <fill>
      <patternFill patternType="solid">
        <fgColor theme="0"/>
        <bgColor indexed="64"/>
      </patternFill>
    </fill>
  </fills>
  <borders count="27">
    <border>
      <left/>
      <right/>
      <top/>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rgb="FF000000"/>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style="thin">
        <color rgb="FF000000"/>
      </right>
      <top style="thin">
        <color rgb="FF000000"/>
      </top>
      <bottom style="thin">
        <color rgb="FF000000"/>
      </bottom>
      <diagonal/>
    </border>
  </borders>
  <cellStyleXfs count="2">
    <xf numFmtId="0" fontId="0" fillId="0" borderId="0"/>
    <xf numFmtId="0" fontId="3" fillId="2" borderId="0" applyNumberFormat="0" applyBorder="0" applyAlignment="0" applyProtection="0"/>
  </cellStyleXfs>
  <cellXfs count="235">
    <xf numFmtId="0" fontId="0" fillId="0" borderId="0" xfId="0"/>
    <xf numFmtId="0" fontId="6" fillId="0" borderId="2" xfId="0" applyFont="1" applyBorder="1" applyAlignment="1">
      <alignment horizontal="left" vertical="center" wrapText="1"/>
    </xf>
    <xf numFmtId="0" fontId="6" fillId="0" borderId="2" xfId="0" applyFont="1" applyBorder="1" applyAlignment="1">
      <alignment horizontal="center" vertical="top" wrapText="1"/>
    </xf>
    <xf numFmtId="0" fontId="8" fillId="0" borderId="2" xfId="0" applyFont="1" applyBorder="1" applyAlignment="1">
      <alignment horizontal="center" vertical="top" wrapText="1"/>
    </xf>
    <xf numFmtId="0" fontId="8" fillId="0" borderId="2" xfId="0" applyFont="1" applyBorder="1" applyAlignment="1">
      <alignment horizontal="left" vertical="top" wrapText="1"/>
    </xf>
    <xf numFmtId="0" fontId="10" fillId="0" borderId="2" xfId="0" applyFont="1" applyBorder="1" applyAlignment="1">
      <alignment horizontal="center" vertical="top" wrapText="1"/>
    </xf>
    <xf numFmtId="1" fontId="12" fillId="0" borderId="2" xfId="0" applyNumberFormat="1" applyFont="1" applyBorder="1" applyAlignment="1">
      <alignment horizontal="center" vertical="center" shrinkToFit="1"/>
    </xf>
    <xf numFmtId="0" fontId="10" fillId="0" borderId="2" xfId="0" applyFont="1" applyBorder="1" applyAlignment="1">
      <alignment horizontal="left" vertical="top" wrapText="1"/>
    </xf>
    <xf numFmtId="0" fontId="10" fillId="0" borderId="2" xfId="0" applyFont="1" applyBorder="1" applyAlignment="1">
      <alignment horizontal="center" vertical="center" wrapText="1"/>
    </xf>
    <xf numFmtId="1" fontId="12" fillId="0" borderId="2" xfId="0" applyNumberFormat="1" applyFont="1" applyBorder="1" applyAlignment="1">
      <alignment horizontal="center" vertical="top" shrinkToFit="1"/>
    </xf>
    <xf numFmtId="0" fontId="0" fillId="0" borderId="2" xfId="0" applyBorder="1" applyAlignment="1">
      <alignment horizontal="left" vertical="top" wrapText="1"/>
    </xf>
    <xf numFmtId="0" fontId="11" fillId="0" borderId="2" xfId="0" applyFont="1" applyBorder="1" applyAlignment="1">
      <alignment horizontal="center" vertical="top" wrapText="1"/>
    </xf>
    <xf numFmtId="0" fontId="11" fillId="0" borderId="2" xfId="0" applyFont="1" applyBorder="1" applyAlignment="1">
      <alignment horizontal="left" vertical="top" wrapText="1"/>
    </xf>
    <xf numFmtId="0" fontId="10" fillId="0" borderId="2" xfId="0" applyFont="1" applyBorder="1" applyAlignment="1">
      <alignment horizontal="left" vertical="center" wrapText="1"/>
    </xf>
    <xf numFmtId="1" fontId="14" fillId="0" borderId="2" xfId="0" applyNumberFormat="1" applyFont="1" applyBorder="1" applyAlignment="1">
      <alignment horizontal="center" vertical="top" shrinkToFit="1"/>
    </xf>
    <xf numFmtId="1" fontId="14" fillId="0" borderId="2" xfId="0" applyNumberFormat="1" applyFont="1" applyBorder="1" applyAlignment="1">
      <alignment horizontal="center" vertical="center" shrinkToFit="1"/>
    </xf>
    <xf numFmtId="0" fontId="10" fillId="0" borderId="2" xfId="0" applyFont="1" applyBorder="1" applyAlignment="1">
      <alignment horizontal="left" vertical="center" wrapText="1" indent="1"/>
    </xf>
    <xf numFmtId="0" fontId="0" fillId="0" borderId="3" xfId="0" applyBorder="1" applyAlignment="1">
      <alignment horizontal="left" vertical="center" wrapText="1"/>
    </xf>
    <xf numFmtId="0" fontId="15" fillId="0" borderId="2" xfId="0" applyFont="1" applyBorder="1" applyAlignment="1">
      <alignment horizontal="center" vertical="top" wrapText="1"/>
    </xf>
    <xf numFmtId="0" fontId="16" fillId="0" borderId="2" xfId="0" applyFont="1" applyBorder="1" applyAlignment="1">
      <alignment horizontal="center" vertical="top" wrapText="1"/>
    </xf>
    <xf numFmtId="0" fontId="17" fillId="3" borderId="2" xfId="0" applyFont="1" applyFill="1" applyBorder="1" applyAlignment="1">
      <alignment horizontal="left" vertical="center" wrapText="1"/>
    </xf>
    <xf numFmtId="1" fontId="12" fillId="0" borderId="2" xfId="0" applyNumberFormat="1" applyFont="1" applyBorder="1" applyAlignment="1">
      <alignment horizontal="left" vertical="center" indent="1" shrinkToFit="1"/>
    </xf>
    <xf numFmtId="0" fontId="17" fillId="0" borderId="2" xfId="0" applyFont="1" applyBorder="1" applyAlignment="1">
      <alignment horizontal="left" vertical="center" wrapText="1"/>
    </xf>
    <xf numFmtId="0" fontId="17" fillId="0" borderId="2" xfId="0" applyFont="1" applyBorder="1" applyAlignment="1">
      <alignment horizontal="left" vertical="top" wrapText="1"/>
    </xf>
    <xf numFmtId="0" fontId="11" fillId="0" borderId="2" xfId="0" applyFont="1" applyBorder="1" applyAlignment="1">
      <alignment horizontal="center" vertical="center" wrapText="1"/>
    </xf>
    <xf numFmtId="0" fontId="17" fillId="0" borderId="2" xfId="0" applyFont="1" applyBorder="1" applyAlignment="1">
      <alignment horizontal="center" vertical="top" wrapText="1"/>
    </xf>
    <xf numFmtId="0" fontId="0" fillId="3" borderId="5" xfId="0" applyFill="1" applyBorder="1" applyAlignment="1">
      <alignment horizontal="left" vertical="top" wrapText="1"/>
    </xf>
    <xf numFmtId="0" fontId="10" fillId="3" borderId="2" xfId="0" applyFont="1" applyFill="1" applyBorder="1" applyAlignment="1">
      <alignment horizontal="center" vertical="center" wrapText="1"/>
    </xf>
    <xf numFmtId="1" fontId="12" fillId="0" borderId="2" xfId="0" applyNumberFormat="1" applyFont="1" applyBorder="1" applyAlignment="1">
      <alignment horizontal="left" vertical="top" indent="1" shrinkToFit="1"/>
    </xf>
    <xf numFmtId="1" fontId="12" fillId="0" borderId="7" xfId="0" applyNumberFormat="1" applyFont="1" applyBorder="1" applyAlignment="1">
      <alignment horizontal="center" vertical="top" shrinkToFit="1"/>
    </xf>
    <xf numFmtId="0" fontId="10" fillId="0" borderId="3" xfId="0" applyFont="1" applyBorder="1" applyAlignment="1">
      <alignment horizontal="left" vertical="top" wrapText="1"/>
    </xf>
    <xf numFmtId="1" fontId="12" fillId="0" borderId="10" xfId="0" applyNumberFormat="1" applyFont="1" applyBorder="1" applyAlignment="1">
      <alignment horizontal="center" vertical="center" shrinkToFit="1"/>
    </xf>
    <xf numFmtId="0" fontId="10" fillId="0" borderId="2" xfId="0" applyFont="1" applyBorder="1" applyAlignment="1">
      <alignment horizontal="center" vertical="center"/>
    </xf>
    <xf numFmtId="0" fontId="11" fillId="0" borderId="2" xfId="0" applyFont="1" applyBorder="1" applyAlignment="1">
      <alignment horizontal="left" vertical="center" wrapText="1"/>
    </xf>
    <xf numFmtId="0" fontId="0" fillId="0" borderId="9" xfId="0" applyBorder="1" applyAlignment="1">
      <alignment horizontal="center" vertical="center"/>
    </xf>
    <xf numFmtId="0" fontId="11" fillId="0" borderId="2" xfId="0" applyFont="1" applyBorder="1" applyAlignment="1">
      <alignment horizontal="center" vertical="center"/>
    </xf>
    <xf numFmtId="0" fontId="10" fillId="0" borderId="3" xfId="0" applyFont="1" applyBorder="1" applyAlignment="1">
      <alignment horizontal="center" vertical="center"/>
    </xf>
    <xf numFmtId="0" fontId="10" fillId="0" borderId="6" xfId="0" applyFont="1" applyBorder="1" applyAlignment="1">
      <alignment horizontal="center" vertical="center"/>
    </xf>
    <xf numFmtId="0" fontId="10" fillId="0" borderId="5" xfId="0" applyFont="1" applyBorder="1" applyAlignment="1">
      <alignment horizontal="center" vertical="center"/>
    </xf>
    <xf numFmtId="0" fontId="10" fillId="0" borderId="11" xfId="0" applyFont="1" applyBorder="1" applyAlignment="1">
      <alignment horizontal="center" vertical="center"/>
    </xf>
    <xf numFmtId="1" fontId="12" fillId="0" borderId="11" xfId="0" applyNumberFormat="1" applyFont="1" applyBorder="1" applyAlignment="1">
      <alignment horizontal="center" vertical="center" shrinkToFit="1"/>
    </xf>
    <xf numFmtId="0" fontId="0" fillId="0" borderId="2" xfId="0" applyBorder="1" applyAlignment="1">
      <alignment horizontal="left" vertical="center" wrapText="1"/>
    </xf>
    <xf numFmtId="0" fontId="8" fillId="0" borderId="2" xfId="0" applyFont="1" applyBorder="1" applyAlignment="1">
      <alignment horizontal="lef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protection locked="0"/>
    </xf>
    <xf numFmtId="0" fontId="0" fillId="0" borderId="0" xfId="0" applyAlignment="1" applyProtection="1">
      <alignment horizontal="center" vertical="center"/>
      <protection locked="0"/>
    </xf>
    <xf numFmtId="0" fontId="0" fillId="0" borderId="0" xfId="0" applyAlignment="1" applyProtection="1">
      <alignment wrapText="1"/>
      <protection locked="0"/>
    </xf>
    <xf numFmtId="0" fontId="3" fillId="2" borderId="1" xfId="1" applyBorder="1" applyProtection="1">
      <protection locked="0"/>
    </xf>
    <xf numFmtId="0" fontId="32" fillId="0" borderId="0" xfId="0" applyFont="1" applyProtection="1">
      <protection locked="0"/>
    </xf>
    <xf numFmtId="0" fontId="20" fillId="0" borderId="0" xfId="0" applyFont="1" applyProtection="1">
      <protection locked="0"/>
    </xf>
    <xf numFmtId="0" fontId="3" fillId="2" borderId="0" xfId="1" applyProtection="1">
      <protection locked="0"/>
    </xf>
    <xf numFmtId="0" fontId="4" fillId="0" borderId="0" xfId="0" applyFont="1" applyProtection="1">
      <protection locked="0"/>
    </xf>
    <xf numFmtId="0" fontId="19" fillId="0" borderId="0" xfId="0" applyFont="1" applyProtection="1">
      <protection locked="0"/>
    </xf>
    <xf numFmtId="0" fontId="0" fillId="0" borderId="0" xfId="0" applyAlignment="1" applyProtection="1">
      <alignment vertical="top"/>
      <protection locked="0"/>
    </xf>
    <xf numFmtId="0" fontId="31" fillId="0" borderId="0" xfId="0" applyFont="1" applyProtection="1"/>
    <xf numFmtId="0" fontId="3" fillId="0" borderId="0" xfId="1" applyFill="1" applyAlignment="1" applyProtection="1">
      <protection locked="0"/>
    </xf>
    <xf numFmtId="0" fontId="3" fillId="0" borderId="0" xfId="1" applyFill="1" applyProtection="1">
      <protection locked="0"/>
    </xf>
    <xf numFmtId="0" fontId="24" fillId="4" borderId="14" xfId="0" applyFont="1" applyFill="1" applyBorder="1" applyProtection="1">
      <protection locked="0"/>
    </xf>
    <xf numFmtId="0" fontId="26" fillId="4" borderId="12" xfId="0" applyFont="1" applyFill="1" applyBorder="1" applyAlignment="1" applyProtection="1">
      <alignment vertical="center"/>
      <protection locked="0"/>
    </xf>
    <xf numFmtId="0" fontId="0" fillId="0" borderId="19" xfId="0" applyBorder="1" applyAlignment="1" applyProtection="1">
      <alignment horizontal="left"/>
      <protection locked="0"/>
    </xf>
    <xf numFmtId="0" fontId="26" fillId="4" borderId="9" xfId="0" applyFont="1" applyFill="1" applyBorder="1" applyAlignment="1" applyProtection="1">
      <alignment horizontal="center" vertical="center"/>
      <protection locked="0"/>
    </xf>
    <xf numFmtId="0" fontId="28" fillId="0" borderId="17" xfId="0" applyFont="1" applyBorder="1" applyAlignment="1" applyProtection="1">
      <alignment horizontal="center" vertical="center"/>
      <protection locked="0"/>
    </xf>
    <xf numFmtId="0" fontId="26" fillId="4" borderId="15" xfId="0" applyFont="1" applyFill="1" applyBorder="1" applyAlignment="1" applyProtection="1">
      <alignment horizontal="center" vertical="center"/>
      <protection locked="0"/>
    </xf>
    <xf numFmtId="0" fontId="28" fillId="0" borderId="9" xfId="0" applyFont="1" applyBorder="1" applyProtection="1">
      <protection locked="0"/>
    </xf>
    <xf numFmtId="0" fontId="29" fillId="4" borderId="9" xfId="0" applyFont="1" applyFill="1" applyBorder="1" applyAlignment="1" applyProtection="1">
      <alignment vertical="center" wrapText="1"/>
      <protection locked="0"/>
    </xf>
    <xf numFmtId="0" fontId="29" fillId="4" borderId="9" xfId="0" applyFont="1" applyFill="1" applyBorder="1" applyAlignment="1" applyProtection="1">
      <alignment horizontal="center" vertical="center" wrapText="1"/>
      <protection locked="0"/>
    </xf>
    <xf numFmtId="0" fontId="0" fillId="0" borderId="9" xfId="0" applyBorder="1" applyAlignment="1" applyProtection="1">
      <alignment wrapText="1"/>
      <protection locked="0"/>
    </xf>
    <xf numFmtId="0" fontId="26" fillId="4" borderId="17" xfId="0" applyFont="1" applyFill="1" applyBorder="1" applyAlignment="1" applyProtection="1">
      <alignment horizontal="center" vertical="center" wrapText="1"/>
      <protection locked="0"/>
    </xf>
    <xf numFmtId="0" fontId="26" fillId="4" borderId="9" xfId="0" applyFont="1" applyFill="1" applyBorder="1" applyAlignment="1" applyProtection="1">
      <alignment horizontal="center" vertical="center" wrapText="1"/>
      <protection locked="0"/>
    </xf>
    <xf numFmtId="0" fontId="26" fillId="4" borderId="0" xfId="0" applyFont="1" applyFill="1" applyAlignment="1" applyProtection="1">
      <alignment horizontal="center" vertical="center" wrapText="1"/>
      <protection locked="0"/>
    </xf>
    <xf numFmtId="0" fontId="29" fillId="4" borderId="0" xfId="0" applyFont="1" applyFill="1" applyAlignment="1" applyProtection="1">
      <alignment vertical="center"/>
      <protection locked="0"/>
    </xf>
    <xf numFmtId="0" fontId="29" fillId="4" borderId="0" xfId="0" applyFont="1" applyFill="1" applyAlignment="1" applyProtection="1">
      <alignment horizontal="center" vertical="center" wrapText="1"/>
      <protection locked="0"/>
    </xf>
    <xf numFmtId="0" fontId="29" fillId="4" borderId="18" xfId="0" applyFont="1" applyFill="1" applyBorder="1" applyAlignment="1" applyProtection="1">
      <alignment horizontal="center" vertical="center" wrapText="1"/>
      <protection locked="0"/>
    </xf>
    <xf numFmtId="0" fontId="29" fillId="4" borderId="0" xfId="0" applyFont="1" applyFill="1" applyProtection="1">
      <protection locked="0"/>
    </xf>
    <xf numFmtId="0" fontId="26" fillId="4" borderId="0" xfId="0" applyFont="1" applyFill="1" applyAlignment="1" applyProtection="1">
      <alignment horizontal="right"/>
      <protection locked="0"/>
    </xf>
    <xf numFmtId="0" fontId="0" fillId="0" borderId="14" xfId="0" applyBorder="1" applyAlignment="1" applyProtection="1">
      <alignment horizontal="left" vertical="center"/>
    </xf>
    <xf numFmtId="0" fontId="23" fillId="4" borderId="22" xfId="0" applyFont="1" applyFill="1" applyBorder="1" applyAlignment="1" applyProtection="1">
      <alignment vertical="center"/>
      <protection locked="0"/>
    </xf>
    <xf numFmtId="0" fontId="25" fillId="4" borderId="22" xfId="0" applyFont="1" applyFill="1" applyBorder="1" applyAlignment="1" applyProtection="1">
      <alignment vertical="center"/>
      <protection locked="0"/>
    </xf>
    <xf numFmtId="0" fontId="25" fillId="4" borderId="21" xfId="0" applyFont="1" applyFill="1" applyBorder="1" applyAlignment="1" applyProtection="1">
      <alignment vertical="center"/>
      <protection locked="0"/>
    </xf>
    <xf numFmtId="0" fontId="26" fillId="4" borderId="12" xfId="0" applyFont="1" applyFill="1" applyBorder="1" applyAlignment="1" applyProtection="1">
      <alignment horizontal="left" vertical="center"/>
      <protection locked="0"/>
    </xf>
    <xf numFmtId="0" fontId="29" fillId="4" borderId="12" xfId="0" applyFont="1" applyFill="1" applyBorder="1" applyAlignment="1" applyProtection="1">
      <alignment horizontal="left" vertical="center"/>
      <protection locked="0"/>
    </xf>
    <xf numFmtId="0" fontId="0" fillId="0" borderId="0" xfId="0" applyBorder="1" applyProtection="1">
      <protection locked="0"/>
    </xf>
    <xf numFmtId="0" fontId="29" fillId="4" borderId="0" xfId="0" applyFont="1" applyFill="1" applyBorder="1" applyAlignment="1" applyProtection="1">
      <alignment horizontal="center" vertical="center" wrapText="1"/>
      <protection locked="0"/>
    </xf>
    <xf numFmtId="0" fontId="29" fillId="4" borderId="0" xfId="0" applyFont="1" applyFill="1" applyBorder="1" applyAlignment="1" applyProtection="1">
      <alignment horizontal="left" vertical="center"/>
      <protection locked="0"/>
    </xf>
    <xf numFmtId="0" fontId="26" fillId="4" borderId="21" xfId="0" applyFont="1" applyFill="1" applyBorder="1" applyAlignment="1" applyProtection="1">
      <alignment vertical="center"/>
      <protection locked="0"/>
    </xf>
    <xf numFmtId="0" fontId="0" fillId="0" borderId="19" xfId="0" applyBorder="1" applyAlignment="1" applyProtection="1">
      <alignment horizontal="left" vertical="center"/>
      <protection locked="0"/>
    </xf>
    <xf numFmtId="0" fontId="26" fillId="4" borderId="12" xfId="0" applyFont="1" applyFill="1" applyBorder="1" applyAlignment="1" applyProtection="1">
      <alignment vertical="center" wrapText="1"/>
      <protection locked="0"/>
    </xf>
    <xf numFmtId="0" fontId="26" fillId="4" borderId="17" xfId="0" applyFont="1" applyFill="1" applyBorder="1" applyAlignment="1" applyProtection="1">
      <alignment horizontal="center" vertical="center" wrapText="1"/>
      <protection locked="0"/>
    </xf>
    <xf numFmtId="0" fontId="31" fillId="0" borderId="0" xfId="0" applyFont="1" applyProtection="1">
      <protection locked="0"/>
    </xf>
    <xf numFmtId="0" fontId="0" fillId="0" borderId="9" xfId="0" applyBorder="1" applyAlignment="1" applyProtection="1">
      <alignment vertical="center" wrapText="1"/>
      <protection locked="0"/>
    </xf>
    <xf numFmtId="0" fontId="26" fillId="4" borderId="17" xfId="0" applyFont="1" applyFill="1" applyBorder="1" applyAlignment="1" applyProtection="1">
      <alignment vertical="center" wrapText="1"/>
      <protection locked="0"/>
    </xf>
    <xf numFmtId="0" fontId="29" fillId="4" borderId="14" xfId="0" applyFont="1" applyFill="1" applyBorder="1" applyAlignment="1" applyProtection="1">
      <alignment vertical="center" wrapText="1"/>
      <protection locked="0"/>
    </xf>
    <xf numFmtId="0" fontId="0" fillId="0" borderId="0" xfId="0" applyAlignment="1" applyProtection="1">
      <alignment horizontal="left"/>
      <protection locked="0"/>
    </xf>
    <xf numFmtId="0" fontId="0" fillId="0" borderId="14" xfId="0" applyBorder="1" applyAlignment="1" applyProtection="1">
      <alignment horizontal="left" vertical="center" wrapText="1"/>
    </xf>
    <xf numFmtId="0" fontId="0" fillId="0" borderId="0" xfId="0" applyProtection="1"/>
    <xf numFmtId="0" fontId="0" fillId="0" borderId="0" xfId="0" applyAlignment="1" applyProtection="1">
      <alignment horizontal="center" vertical="center"/>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protection locked="0"/>
    </xf>
    <xf numFmtId="1" fontId="12" fillId="0" borderId="3" xfId="0" applyNumberFormat="1" applyFont="1" applyBorder="1" applyAlignment="1">
      <alignment horizontal="center" vertical="center" shrinkToFit="1"/>
    </xf>
    <xf numFmtId="1" fontId="12" fillId="0" borderId="4" xfId="0" applyNumberFormat="1" applyFont="1" applyBorder="1" applyAlignment="1">
      <alignment horizontal="center" vertical="center" shrinkToFit="1"/>
    </xf>
    <xf numFmtId="1" fontId="12" fillId="0" borderId="5" xfId="0" applyNumberFormat="1" applyFont="1" applyBorder="1" applyAlignment="1">
      <alignment horizontal="center" vertical="center" shrinkToFit="1"/>
    </xf>
    <xf numFmtId="0" fontId="10" fillId="0" borderId="5" xfId="0" applyFont="1" applyBorder="1" applyAlignment="1">
      <alignment horizontal="left" vertical="center" wrapText="1"/>
    </xf>
    <xf numFmtId="1" fontId="12" fillId="0" borderId="3" xfId="0" applyNumberFormat="1" applyFont="1" applyBorder="1" applyAlignment="1">
      <alignment horizontal="center" vertical="top" shrinkToFit="1"/>
    </xf>
    <xf numFmtId="1" fontId="12" fillId="0" borderId="4" xfId="0" applyNumberFormat="1" applyFont="1" applyBorder="1" applyAlignment="1">
      <alignment horizontal="center" vertical="top" shrinkToFit="1"/>
    </xf>
    <xf numFmtId="1" fontId="12" fillId="0" borderId="5" xfId="0" applyNumberFormat="1" applyFont="1" applyBorder="1" applyAlignment="1">
      <alignment horizontal="center" vertical="top" shrinkToFit="1"/>
    </xf>
    <xf numFmtId="0" fontId="10" fillId="0" borderId="4" xfId="0" applyFont="1" applyBorder="1" applyAlignment="1">
      <alignment horizontal="center" vertical="top" wrapText="1"/>
    </xf>
    <xf numFmtId="0" fontId="10" fillId="0" borderId="4" xfId="0" applyFont="1" applyBorder="1" applyAlignment="1">
      <alignment horizontal="center" vertical="center" wrapText="1"/>
    </xf>
    <xf numFmtId="1" fontId="12" fillId="0" borderId="3" xfId="0" applyNumberFormat="1" applyFont="1" applyBorder="1" applyAlignment="1">
      <alignment horizontal="left" vertical="center" indent="1" shrinkToFit="1"/>
    </xf>
    <xf numFmtId="1" fontId="12" fillId="0" borderId="5" xfId="0" applyNumberFormat="1" applyFont="1" applyBorder="1" applyAlignment="1">
      <alignment horizontal="left" vertical="center" indent="1" shrinkToFit="1"/>
    </xf>
    <xf numFmtId="0" fontId="0" fillId="0" borderId="3" xfId="0" applyBorder="1" applyAlignment="1">
      <alignment horizontal="left" vertical="top" wrapText="1"/>
    </xf>
    <xf numFmtId="1" fontId="12" fillId="0" borderId="4" xfId="0" applyNumberFormat="1" applyFont="1" applyBorder="1" applyAlignment="1">
      <alignment horizontal="center" vertical="center" wrapText="1" shrinkToFit="1"/>
    </xf>
    <xf numFmtId="0" fontId="0" fillId="0" borderId="4" xfId="0" applyBorder="1" applyAlignment="1">
      <alignment horizontal="left" vertical="top" wrapText="1"/>
    </xf>
    <xf numFmtId="0" fontId="10" fillId="0" borderId="4" xfId="0" applyFont="1" applyBorder="1" applyAlignment="1">
      <alignment horizontal="left" vertical="center" wrapText="1" indent="2"/>
    </xf>
    <xf numFmtId="0" fontId="10" fillId="0" borderId="4" xfId="0" applyFont="1" applyBorder="1" applyAlignment="1">
      <alignment horizontal="left" vertical="center" wrapText="1" indent="3"/>
    </xf>
    <xf numFmtId="0" fontId="0" fillId="0" borderId="0" xfId="0" applyAlignment="1" applyProtection="1">
      <alignment horizontal="center" vertical="center" wrapText="1"/>
      <protection locked="0"/>
    </xf>
    <xf numFmtId="20" fontId="26" fillId="4" borderId="15" xfId="0" applyNumberFormat="1" applyFont="1" applyFill="1" applyBorder="1" applyAlignment="1" applyProtection="1">
      <alignment horizontal="center" vertical="center"/>
      <protection locked="0"/>
    </xf>
    <xf numFmtId="0" fontId="33" fillId="0" borderId="12" xfId="0" applyFont="1" applyBorder="1" applyProtection="1">
      <protection locked="0"/>
    </xf>
    <xf numFmtId="0" fontId="33" fillId="0" borderId="21" xfId="0" applyFont="1" applyBorder="1" applyProtection="1">
      <protection locked="0"/>
    </xf>
    <xf numFmtId="0" fontId="33" fillId="0" borderId="21" xfId="0" applyFont="1" applyBorder="1" applyAlignment="1" applyProtection="1">
      <alignment horizontal="center" vertical="center"/>
      <protection locked="0"/>
    </xf>
    <xf numFmtId="0" fontId="33" fillId="0" borderId="12" xfId="0" applyFont="1" applyBorder="1" applyAlignment="1" applyProtection="1">
      <alignment horizontal="center" vertical="center"/>
      <protection locked="0"/>
    </xf>
    <xf numFmtId="0" fontId="29" fillId="4" borderId="12" xfId="0" applyFont="1" applyFill="1" applyBorder="1" applyAlignment="1" applyProtection="1">
      <alignment vertical="center" wrapText="1"/>
      <protection locked="0"/>
    </xf>
    <xf numFmtId="0" fontId="0" fillId="0" borderId="9" xfId="0" applyBorder="1" applyAlignment="1" applyProtection="1">
      <alignment horizontal="center" vertical="center" wrapText="1"/>
      <protection locked="0"/>
    </xf>
    <xf numFmtId="0" fontId="0" fillId="0" borderId="9" xfId="0" applyBorder="1" applyProtection="1">
      <protection locked="0"/>
    </xf>
    <xf numFmtId="1" fontId="12" fillId="0" borderId="6" xfId="0" applyNumberFormat="1" applyFont="1" applyBorder="1" applyAlignment="1">
      <alignment horizontal="center" vertical="top" shrinkToFit="1"/>
    </xf>
    <xf numFmtId="0" fontId="32" fillId="2" borderId="24" xfId="1" applyFont="1" applyBorder="1" applyAlignment="1" applyProtection="1">
      <protection locked="0"/>
    </xf>
    <xf numFmtId="0" fontId="32" fillId="2" borderId="25" xfId="1" applyFont="1" applyBorder="1" applyAlignment="1" applyProtection="1">
      <protection locked="0"/>
    </xf>
    <xf numFmtId="0" fontId="26" fillId="4" borderId="23" xfId="0" applyFont="1" applyFill="1" applyBorder="1" applyAlignment="1" applyProtection="1">
      <alignment horizontal="center" vertical="center" wrapText="1"/>
      <protection locked="0"/>
    </xf>
    <xf numFmtId="0" fontId="26" fillId="4" borderId="17" xfId="0" applyFont="1" applyFill="1" applyBorder="1" applyAlignment="1" applyProtection="1">
      <alignment horizontal="center" vertical="center" wrapText="1"/>
      <protection locked="0"/>
    </xf>
    <xf numFmtId="0" fontId="26" fillId="4" borderId="15" xfId="0" applyFont="1" applyFill="1" applyBorder="1" applyAlignment="1" applyProtection="1">
      <alignment horizontal="center" vertical="center" wrapText="1"/>
      <protection locked="0"/>
    </xf>
    <xf numFmtId="0" fontId="26" fillId="4" borderId="16" xfId="0" applyFont="1" applyFill="1" applyBorder="1" applyAlignment="1" applyProtection="1">
      <alignment horizontal="center" vertical="center" wrapText="1"/>
      <protection locked="0"/>
    </xf>
    <xf numFmtId="0" fontId="29" fillId="4" borderId="12" xfId="0" applyFont="1" applyFill="1" applyBorder="1" applyAlignment="1" applyProtection="1">
      <alignment horizontal="center" vertical="center" wrapText="1"/>
      <protection locked="0"/>
    </xf>
    <xf numFmtId="0" fontId="29" fillId="4" borderId="14" xfId="0" applyFont="1" applyFill="1" applyBorder="1" applyAlignment="1" applyProtection="1">
      <alignment horizontal="center" vertical="center" wrapText="1"/>
      <protection locked="0"/>
    </xf>
    <xf numFmtId="0" fontId="29" fillId="4" borderId="13" xfId="0" applyFont="1" applyFill="1" applyBorder="1" applyAlignment="1" applyProtection="1">
      <alignment horizontal="center" vertical="center" wrapText="1"/>
      <protection locked="0"/>
    </xf>
    <xf numFmtId="0" fontId="0" fillId="0" borderId="20" xfId="0" applyBorder="1" applyAlignment="1" applyProtection="1">
      <alignment horizontal="center"/>
      <protection locked="0"/>
    </xf>
    <xf numFmtId="0" fontId="0" fillId="0" borderId="0" xfId="0" applyAlignment="1" applyProtection="1">
      <alignment horizontal="center"/>
      <protection locked="0"/>
    </xf>
    <xf numFmtId="0" fontId="29" fillId="4" borderId="12" xfId="0" applyFont="1" applyFill="1" applyBorder="1" applyAlignment="1" applyProtection="1">
      <alignment horizontal="left" vertical="center"/>
      <protection locked="0"/>
    </xf>
    <xf numFmtId="0" fontId="29" fillId="4" borderId="14" xfId="0" applyFont="1" applyFill="1" applyBorder="1" applyAlignment="1" applyProtection="1">
      <alignment horizontal="left" vertical="center"/>
      <protection locked="0"/>
    </xf>
    <xf numFmtId="0" fontId="29" fillId="4" borderId="0" xfId="0" applyFont="1" applyFill="1" applyAlignment="1" applyProtection="1">
      <alignment horizontal="left"/>
      <protection locked="0"/>
    </xf>
    <xf numFmtId="0" fontId="22" fillId="4" borderId="12" xfId="0" applyFont="1" applyFill="1" applyBorder="1" applyAlignment="1" applyProtection="1">
      <alignment horizontal="center" vertical="center" wrapText="1"/>
      <protection locked="0"/>
    </xf>
    <xf numFmtId="0" fontId="22" fillId="4" borderId="13" xfId="0" applyFont="1" applyFill="1" applyBorder="1" applyAlignment="1" applyProtection="1">
      <alignment horizontal="center" vertical="center" wrapText="1"/>
      <protection locked="0"/>
    </xf>
    <xf numFmtId="0" fontId="23" fillId="4" borderId="9" xfId="0" applyFont="1" applyFill="1" applyBorder="1" applyAlignment="1" applyProtection="1">
      <alignment horizontal="center" vertical="center" wrapText="1"/>
      <protection locked="0"/>
    </xf>
    <xf numFmtId="0" fontId="23" fillId="4" borderId="9" xfId="0" applyFont="1" applyFill="1" applyBorder="1" applyAlignment="1" applyProtection="1">
      <alignment horizontal="center" vertical="center"/>
      <protection locked="0"/>
    </xf>
    <xf numFmtId="0" fontId="23" fillId="4" borderId="12" xfId="0" applyFont="1" applyFill="1" applyBorder="1" applyAlignment="1" applyProtection="1">
      <alignment horizontal="center" vertical="center"/>
      <protection locked="0"/>
    </xf>
    <xf numFmtId="0" fontId="24" fillId="4" borderId="15" xfId="0" applyFont="1" applyFill="1" applyBorder="1" applyAlignment="1" applyProtection="1">
      <alignment horizontal="center"/>
      <protection locked="0"/>
    </xf>
    <xf numFmtId="0" fontId="24" fillId="4" borderId="16" xfId="0" applyFont="1" applyFill="1" applyBorder="1" applyAlignment="1" applyProtection="1">
      <alignment horizontal="center"/>
      <protection locked="0"/>
    </xf>
    <xf numFmtId="0" fontId="24" fillId="4" borderId="17" xfId="0" applyFont="1" applyFill="1" applyBorder="1" applyAlignment="1" applyProtection="1">
      <alignment horizontal="center"/>
      <protection locked="0"/>
    </xf>
    <xf numFmtId="0" fontId="25" fillId="4" borderId="9" xfId="0" applyFont="1" applyFill="1" applyBorder="1" applyAlignment="1" applyProtection="1">
      <alignment horizontal="center" vertical="center"/>
      <protection locked="0"/>
    </xf>
    <xf numFmtId="0" fontId="25" fillId="4" borderId="12" xfId="0" applyFont="1" applyFill="1" applyBorder="1" applyAlignment="1" applyProtection="1">
      <alignment horizontal="center" vertical="center"/>
      <protection locked="0"/>
    </xf>
    <xf numFmtId="0" fontId="24" fillId="4" borderId="12" xfId="0" applyFont="1" applyFill="1" applyBorder="1" applyAlignment="1" applyProtection="1">
      <alignment horizontal="center" vertical="center"/>
      <protection locked="0"/>
    </xf>
    <xf numFmtId="0" fontId="24" fillId="4" borderId="13" xfId="0" applyFont="1" applyFill="1" applyBorder="1" applyAlignment="1" applyProtection="1">
      <alignment horizontal="center" vertical="center"/>
      <protection locked="0"/>
    </xf>
    <xf numFmtId="0" fontId="24" fillId="4" borderId="14" xfId="0" applyFont="1" applyFill="1" applyBorder="1" applyAlignment="1" applyProtection="1">
      <alignment horizontal="center" vertical="center"/>
      <protection locked="0"/>
    </xf>
    <xf numFmtId="0" fontId="27" fillId="4" borderId="12" xfId="0" applyFont="1" applyFill="1" applyBorder="1" applyAlignment="1" applyProtection="1">
      <alignment horizontal="left" vertical="center" wrapText="1"/>
      <protection locked="0"/>
    </xf>
    <xf numFmtId="0" fontId="27" fillId="4" borderId="13" xfId="0" applyFont="1" applyFill="1" applyBorder="1" applyAlignment="1" applyProtection="1">
      <alignment horizontal="left" vertical="center" wrapText="1"/>
      <protection locked="0"/>
    </xf>
    <xf numFmtId="0" fontId="26" fillId="4" borderId="9" xfId="0" applyFont="1" applyFill="1" applyBorder="1" applyAlignment="1" applyProtection="1">
      <alignment horizontal="left" vertical="center" wrapText="1"/>
      <protection locked="0"/>
    </xf>
    <xf numFmtId="0" fontId="26" fillId="4" borderId="12" xfId="0" applyFont="1" applyFill="1" applyBorder="1" applyAlignment="1" applyProtection="1">
      <alignment horizontal="left" vertical="center" wrapText="1"/>
      <protection locked="0"/>
    </xf>
    <xf numFmtId="0" fontId="26" fillId="4" borderId="13" xfId="0" applyFont="1" applyFill="1" applyBorder="1" applyAlignment="1" applyProtection="1">
      <alignment horizontal="left" vertical="center" wrapText="1"/>
      <protection locked="0"/>
    </xf>
    <xf numFmtId="0" fontId="26" fillId="4" borderId="14" xfId="0" applyFont="1" applyFill="1" applyBorder="1" applyAlignment="1" applyProtection="1">
      <alignment horizontal="left" vertical="center" wrapText="1"/>
      <protection locked="0"/>
    </xf>
    <xf numFmtId="0" fontId="23" fillId="4" borderId="12" xfId="0" applyFont="1" applyFill="1" applyBorder="1" applyAlignment="1" applyProtection="1">
      <alignment horizontal="center" vertical="center" wrapText="1"/>
      <protection locked="0"/>
    </xf>
    <xf numFmtId="0" fontId="23" fillId="4" borderId="13" xfId="0" applyFont="1" applyFill="1" applyBorder="1" applyAlignment="1" applyProtection="1">
      <alignment horizontal="center" vertical="center" wrapText="1"/>
      <protection locked="0"/>
    </xf>
    <xf numFmtId="0" fontId="25" fillId="4" borderId="13" xfId="0" applyFont="1" applyFill="1" applyBorder="1" applyAlignment="1" applyProtection="1">
      <alignment horizontal="center" vertical="center"/>
      <protection locked="0"/>
    </xf>
    <xf numFmtId="0" fontId="29" fillId="4" borderId="9" xfId="0" applyFont="1" applyFill="1" applyBorder="1" applyAlignment="1" applyProtection="1">
      <alignment horizontal="left"/>
      <protection locked="0"/>
    </xf>
    <xf numFmtId="0" fontId="3" fillId="2" borderId="0" xfId="1" applyAlignment="1" applyProtection="1">
      <alignment horizontal="center"/>
      <protection locked="0"/>
    </xf>
    <xf numFmtId="0" fontId="0" fillId="0" borderId="0" xfId="0" applyProtection="1">
      <protection locked="0"/>
    </xf>
    <xf numFmtId="0" fontId="0" fillId="0" borderId="0" xfId="0" applyAlignment="1" applyProtection="1">
      <alignment horizontal="center" wrapText="1"/>
      <protection locked="0"/>
    </xf>
    <xf numFmtId="0" fontId="0" fillId="0" borderId="0" xfId="0" applyAlignment="1" applyProtection="1">
      <protection locked="0"/>
    </xf>
    <xf numFmtId="0" fontId="10" fillId="0" borderId="6" xfId="0" applyFont="1" applyBorder="1" applyAlignment="1">
      <alignment horizontal="left" vertical="top" wrapText="1"/>
    </xf>
    <xf numFmtId="0" fontId="10" fillId="0" borderId="26" xfId="0" applyFont="1" applyBorder="1" applyAlignment="1">
      <alignment horizontal="left" vertical="top" wrapText="1"/>
    </xf>
    <xf numFmtId="0" fontId="10" fillId="0" borderId="3" xfId="0" applyFont="1" applyBorder="1" applyAlignment="1">
      <alignment horizontal="left" vertical="center" wrapText="1" indent="3"/>
    </xf>
    <xf numFmtId="0" fontId="10" fillId="0" borderId="4" xfId="0" applyFont="1" applyBorder="1" applyAlignment="1">
      <alignment horizontal="left" vertical="center" wrapText="1" indent="3"/>
    </xf>
    <xf numFmtId="0" fontId="10" fillId="0" borderId="5" xfId="0" applyFont="1" applyBorder="1" applyAlignment="1">
      <alignment horizontal="left" vertical="center" wrapText="1" indent="3"/>
    </xf>
    <xf numFmtId="0" fontId="0" fillId="0" borderId="7" xfId="0" applyBorder="1" applyAlignment="1">
      <alignment horizontal="left" vertical="top" wrapText="1"/>
    </xf>
    <xf numFmtId="0" fontId="0" fillId="0" borderId="8" xfId="0" applyBorder="1" applyAlignment="1">
      <alignment horizontal="left" vertical="top" wrapText="1"/>
    </xf>
    <xf numFmtId="0" fontId="17" fillId="3" borderId="3" xfId="0" applyFont="1" applyFill="1" applyBorder="1" applyAlignment="1">
      <alignment horizontal="left" vertical="center" wrapText="1" indent="1"/>
    </xf>
    <xf numFmtId="0" fontId="17" fillId="3" borderId="4" xfId="0" applyFont="1" applyFill="1" applyBorder="1" applyAlignment="1">
      <alignment horizontal="left" vertical="center" wrapText="1" indent="1"/>
    </xf>
    <xf numFmtId="0" fontId="17" fillId="3" borderId="5" xfId="0" applyFont="1" applyFill="1" applyBorder="1" applyAlignment="1">
      <alignment horizontal="left" vertical="center" wrapText="1" indent="1"/>
    </xf>
    <xf numFmtId="0" fontId="17" fillId="0" borderId="3" xfId="0" applyFont="1" applyBorder="1" applyAlignment="1">
      <alignment horizontal="left" vertical="center" wrapText="1" indent="2"/>
    </xf>
    <xf numFmtId="0" fontId="17" fillId="0" borderId="4" xfId="0" applyFont="1" applyBorder="1" applyAlignment="1">
      <alignment horizontal="left" vertical="center" wrapText="1" indent="2"/>
    </xf>
    <xf numFmtId="0" fontId="17" fillId="0" borderId="5" xfId="0" applyFont="1" applyBorder="1" applyAlignment="1">
      <alignment horizontal="left" vertical="center" wrapText="1" indent="2"/>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5" xfId="0" applyFont="1" applyBorder="1" applyAlignment="1">
      <alignment horizontal="left" vertical="center" wrapText="1"/>
    </xf>
    <xf numFmtId="0" fontId="17" fillId="0" borderId="3" xfId="0" applyFont="1" applyBorder="1" applyAlignment="1">
      <alignment horizontal="left" vertical="center" wrapText="1" indent="1"/>
    </xf>
    <xf numFmtId="0" fontId="17" fillId="0" borderId="4" xfId="0" applyFont="1" applyBorder="1" applyAlignment="1">
      <alignment horizontal="left" vertical="center" wrapText="1" indent="1"/>
    </xf>
    <xf numFmtId="0" fontId="17" fillId="0" borderId="5" xfId="0" applyFont="1" applyBorder="1" applyAlignment="1">
      <alignment horizontal="left" vertical="center" wrapText="1" indent="1"/>
    </xf>
    <xf numFmtId="0" fontId="10" fillId="3" borderId="3" xfId="0" applyFont="1" applyFill="1" applyBorder="1" applyAlignment="1">
      <alignment horizontal="left" wrapText="1" indent="2"/>
    </xf>
    <xf numFmtId="0" fontId="10" fillId="3" borderId="4" xfId="0" applyFont="1" applyFill="1" applyBorder="1" applyAlignment="1">
      <alignment horizontal="left" wrapText="1" indent="2"/>
    </xf>
    <xf numFmtId="0" fontId="17" fillId="0" borderId="3" xfId="0" applyFont="1" applyBorder="1" applyAlignment="1">
      <alignment horizontal="left" vertical="center" wrapText="1" indent="3"/>
    </xf>
    <xf numFmtId="0" fontId="17" fillId="0" borderId="4" xfId="0" applyFont="1" applyBorder="1" applyAlignment="1">
      <alignment horizontal="left" vertical="center" wrapText="1" indent="3"/>
    </xf>
    <xf numFmtId="0" fontId="17" fillId="0" borderId="5" xfId="0" applyFont="1" applyBorder="1" applyAlignment="1">
      <alignment horizontal="left" vertical="center" wrapText="1" indent="3"/>
    </xf>
    <xf numFmtId="1" fontId="12" fillId="0" borderId="3" xfId="0" applyNumberFormat="1" applyFont="1" applyBorder="1" applyAlignment="1">
      <alignment horizontal="center" vertical="center" shrinkToFit="1"/>
    </xf>
    <xf numFmtId="1" fontId="12" fillId="0" borderId="4" xfId="0" applyNumberFormat="1" applyFont="1" applyBorder="1" applyAlignment="1">
      <alignment horizontal="center" vertical="center" shrinkToFit="1"/>
    </xf>
    <xf numFmtId="1" fontId="12" fillId="0" borderId="5" xfId="0" applyNumberFormat="1" applyFont="1" applyBorder="1" applyAlignment="1">
      <alignment horizontal="center" vertical="center" shrinkToFit="1"/>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0" fontId="10" fillId="0" borderId="5" xfId="0" applyFont="1" applyBorder="1" applyAlignment="1">
      <alignment horizontal="left" vertical="center" wrapText="1"/>
    </xf>
    <xf numFmtId="0" fontId="11" fillId="0" borderId="3" xfId="0" applyFont="1" applyBorder="1" applyAlignment="1">
      <alignment horizontal="left" vertical="center" wrapText="1" indent="2"/>
    </xf>
    <xf numFmtId="0" fontId="11" fillId="0" borderId="4" xfId="0" applyFont="1" applyBorder="1" applyAlignment="1">
      <alignment horizontal="left" vertical="center" wrapText="1" indent="2"/>
    </xf>
    <xf numFmtId="0" fontId="10" fillId="0" borderId="5" xfId="0" applyFont="1" applyBorder="1" applyAlignment="1">
      <alignment horizontal="left" vertical="center" wrapText="1" indent="2"/>
    </xf>
    <xf numFmtId="0" fontId="11" fillId="0" borderId="3"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5" xfId="0" applyFont="1" applyBorder="1" applyAlignment="1">
      <alignment horizontal="center" vertical="center" wrapText="1"/>
    </xf>
    <xf numFmtId="1" fontId="12" fillId="0" borderId="3" xfId="0" applyNumberFormat="1" applyFont="1" applyBorder="1" applyAlignment="1">
      <alignment horizontal="left" vertical="center" indent="1" shrinkToFit="1"/>
    </xf>
    <xf numFmtId="1" fontId="12" fillId="0" borderId="4" xfId="0" applyNumberFormat="1" applyFont="1" applyBorder="1" applyAlignment="1">
      <alignment horizontal="left" vertical="center" indent="1" shrinkToFit="1"/>
    </xf>
    <xf numFmtId="1" fontId="12" fillId="0" borderId="5" xfId="0" applyNumberFormat="1" applyFont="1" applyBorder="1" applyAlignment="1">
      <alignment horizontal="left" vertical="center" indent="1" shrinkToFit="1"/>
    </xf>
    <xf numFmtId="0" fontId="11" fillId="0" borderId="3" xfId="0" applyFont="1" applyBorder="1" applyAlignment="1">
      <alignment horizontal="left" vertical="top" wrapText="1"/>
    </xf>
    <xf numFmtId="0" fontId="11" fillId="0" borderId="4" xfId="0" applyFont="1" applyBorder="1" applyAlignment="1">
      <alignment horizontal="left" vertical="top" wrapText="1"/>
    </xf>
    <xf numFmtId="0" fontId="10" fillId="0" borderId="5" xfId="0" applyFont="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1" fontId="12" fillId="0" borderId="4" xfId="0" applyNumberFormat="1" applyFont="1" applyBorder="1" applyAlignment="1">
      <alignment horizontal="center" vertical="top" shrinkToFit="1"/>
    </xf>
    <xf numFmtId="1" fontId="12" fillId="0" borderId="5" xfId="0" applyNumberFormat="1" applyFont="1" applyBorder="1" applyAlignment="1">
      <alignment horizontal="center" vertical="top" shrinkToFit="1"/>
    </xf>
    <xf numFmtId="0" fontId="10" fillId="0" borderId="4" xfId="0" applyFont="1" applyBorder="1" applyAlignment="1">
      <alignment horizontal="center" vertical="top" wrapText="1"/>
    </xf>
    <xf numFmtId="0" fontId="10" fillId="0" borderId="5" xfId="0" applyFont="1" applyBorder="1" applyAlignment="1">
      <alignment horizontal="center" vertical="top" wrapText="1"/>
    </xf>
    <xf numFmtId="0" fontId="10" fillId="0" borderId="3" xfId="0" applyFont="1" applyBorder="1" applyAlignment="1">
      <alignment horizontal="left" vertical="center" wrapText="1" indent="5"/>
    </xf>
    <xf numFmtId="0" fontId="10" fillId="0" borderId="4" xfId="0" applyFont="1" applyBorder="1" applyAlignment="1">
      <alignment horizontal="left" vertical="center" wrapText="1" indent="5"/>
    </xf>
    <xf numFmtId="0" fontId="10" fillId="0" borderId="5" xfId="0" applyFont="1" applyBorder="1" applyAlignment="1">
      <alignment horizontal="left" vertical="center" wrapText="1" indent="5"/>
    </xf>
    <xf numFmtId="0" fontId="10" fillId="0" borderId="3" xfId="0" applyFont="1" applyBorder="1" applyAlignment="1">
      <alignment horizontal="left" vertical="center" wrapText="1" indent="4"/>
    </xf>
    <xf numFmtId="0" fontId="10" fillId="0" borderId="4" xfId="0" applyFont="1" applyBorder="1" applyAlignment="1">
      <alignment horizontal="left" vertical="center" wrapText="1" indent="4"/>
    </xf>
    <xf numFmtId="0" fontId="10" fillId="0" borderId="5" xfId="0" applyFont="1" applyBorder="1" applyAlignment="1">
      <alignment horizontal="left" vertical="center" wrapText="1" indent="4"/>
    </xf>
    <xf numFmtId="1" fontId="12" fillId="0" borderId="3" xfId="0" applyNumberFormat="1" applyFont="1" applyBorder="1" applyAlignment="1">
      <alignment horizontal="center" vertical="top" shrinkToFit="1"/>
    </xf>
    <xf numFmtId="0" fontId="10" fillId="0" borderId="3" xfId="0" applyFont="1" applyBorder="1" applyAlignment="1">
      <alignment horizontal="center" vertical="top" wrapText="1"/>
    </xf>
    <xf numFmtId="0" fontId="10" fillId="0" borderId="3" xfId="0" applyFont="1" applyBorder="1" applyAlignment="1">
      <alignment horizontal="left" vertical="center" wrapText="1" indent="2"/>
    </xf>
    <xf numFmtId="0" fontId="10" fillId="0" borderId="4" xfId="0" applyFont="1" applyBorder="1" applyAlignment="1">
      <alignment horizontal="left" vertical="center" wrapText="1" indent="2"/>
    </xf>
    <xf numFmtId="0" fontId="10" fillId="0" borderId="4" xfId="0" applyFont="1" applyBorder="1" applyAlignment="1">
      <alignment horizontal="left" vertical="top" wrapText="1" indent="4"/>
    </xf>
    <xf numFmtId="1" fontId="12" fillId="0" borderId="3" xfId="0" applyNumberFormat="1" applyFont="1" applyBorder="1" applyAlignment="1">
      <alignment horizontal="center" vertical="center" wrapText="1" shrinkToFit="1"/>
    </xf>
    <xf numFmtId="1" fontId="12" fillId="0" borderId="4" xfId="0" applyNumberFormat="1" applyFont="1" applyBorder="1" applyAlignment="1">
      <alignment horizontal="center" vertical="center" wrapText="1" shrinkToFit="1"/>
    </xf>
    <xf numFmtId="1" fontId="12" fillId="0" borderId="5" xfId="0" applyNumberFormat="1" applyFont="1" applyBorder="1" applyAlignment="1">
      <alignment horizontal="center" vertical="center" wrapText="1" shrinkToFit="1"/>
    </xf>
    <xf numFmtId="0" fontId="0" fillId="0" borderId="4" xfId="0" applyBorder="1" applyAlignment="1">
      <alignment horizontal="left" vertical="center" wrapText="1"/>
    </xf>
    <xf numFmtId="0" fontId="0" fillId="0" borderId="5" xfId="0" applyBorder="1" applyAlignment="1">
      <alignment horizontal="left" vertical="center" wrapText="1"/>
    </xf>
  </cellXfs>
  <cellStyles count="2">
    <cellStyle name="40% - Accent3" xfId="1" builtinId="39"/>
    <cellStyle name="Normal" xfId="0" builtinId="0"/>
  </cellStyles>
  <dxfs count="9">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alignment horizontal="center" vertical="center" textRotation="0" wrapText="0" indent="0" justifyLastLine="0" shrinkToFit="0" readingOrder="0"/>
      <protection locked="0" hidden="0"/>
    </dxf>
    <dxf>
      <protection locked="0" hidden="0"/>
    </dxf>
    <dxf>
      <numFmt numFmtId="0" formatCode="General"/>
      <protection locked="1" hidden="0"/>
    </dxf>
    <dxf>
      <alignment horizontal="general" vertical="bottom" textRotation="0" wrapText="1" indent="0" justifyLastLine="0" shrinkToFit="0" readingOrder="0"/>
      <protection locked="0" hidden="0"/>
    </dxf>
    <dxf>
      <numFmt numFmtId="0" formatCode="General"/>
      <alignment horizontal="center" vertical="center" textRotation="0" wrapText="0" indent="0" justifyLastLine="0" shrinkToFit="0" readingOrder="0"/>
      <protection locked="1" hidden="0"/>
    </dxf>
    <dxf>
      <protection locked="0" hidden="0"/>
    </dxf>
    <dxf>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Radio" firstButton="1" fmlaLink="$K$6"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7993C303-6D53-4113-B5E4-2D207E11BB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95719" y="0"/>
          <a:ext cx="1120776" cy="9655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205740</xdr:colOff>
          <xdr:row>3</xdr:row>
          <xdr:rowOff>99060</xdr:rowOff>
        </xdr:from>
        <xdr:to>
          <xdr:col>15</xdr:col>
          <xdr:colOff>373380</xdr:colOff>
          <xdr:row>5</xdr:row>
          <xdr:rowOff>22860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0</xdr:row>
          <xdr:rowOff>327660</xdr:rowOff>
        </xdr:from>
        <xdr:to>
          <xdr:col>15</xdr:col>
          <xdr:colOff>381000</xdr:colOff>
          <xdr:row>2</xdr:row>
          <xdr:rowOff>114300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1B6C1F2B-E871-4A1D-B7FC-4211A33F00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95719" y="0"/>
          <a:ext cx="1120776" cy="9655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213360</xdr:colOff>
          <xdr:row>3</xdr:row>
          <xdr:rowOff>60960</xdr:rowOff>
        </xdr:from>
        <xdr:to>
          <xdr:col>14</xdr:col>
          <xdr:colOff>381000</xdr:colOff>
          <xdr:row>4</xdr:row>
          <xdr:rowOff>304800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1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190500</xdr:colOff>
          <xdr:row>0</xdr:row>
          <xdr:rowOff>289560</xdr:rowOff>
        </xdr:from>
        <xdr:to>
          <xdr:col>14</xdr:col>
          <xdr:colOff>388620</xdr:colOff>
          <xdr:row>2</xdr:row>
          <xdr:rowOff>76200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100-000002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163737</xdr:colOff>
      <xdr:row>0</xdr:row>
      <xdr:rowOff>25400</xdr:rowOff>
    </xdr:from>
    <xdr:to>
      <xdr:col>8</xdr:col>
      <xdr:colOff>194732</xdr:colOff>
      <xdr:row>2</xdr:row>
      <xdr:rowOff>221343</xdr:rowOff>
    </xdr:to>
    <xdr:pic>
      <xdr:nvPicPr>
        <xdr:cNvPr id="2" name="Picture 1" descr="DMRA Logo">
          <a:extLst>
            <a:ext uri="{FF2B5EF4-FFF2-40B4-BE49-F238E27FC236}">
              <a16:creationId xmlns:a16="http://schemas.microsoft.com/office/drawing/2014/main" id="{DD729C99-B974-4B9C-8C09-7ABDBA9AD3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95137" y="25400"/>
          <a:ext cx="1351795" cy="9664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274320</xdr:colOff>
          <xdr:row>4</xdr:row>
          <xdr:rowOff>38100</xdr:rowOff>
        </xdr:from>
        <xdr:to>
          <xdr:col>13</xdr:col>
          <xdr:colOff>441960</xdr:colOff>
          <xdr:row>6</xdr:row>
          <xdr:rowOff>76200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251460</xdr:colOff>
          <xdr:row>1</xdr:row>
          <xdr:rowOff>15240</xdr:rowOff>
        </xdr:from>
        <xdr:to>
          <xdr:col>13</xdr:col>
          <xdr:colOff>449580</xdr:colOff>
          <xdr:row>3</xdr:row>
          <xdr:rowOff>114300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2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77378</xdr:colOff>
      <xdr:row>0</xdr:row>
      <xdr:rowOff>76200</xdr:rowOff>
    </xdr:from>
    <xdr:to>
      <xdr:col>8</xdr:col>
      <xdr:colOff>126999</xdr:colOff>
      <xdr:row>2</xdr:row>
      <xdr:rowOff>177800</xdr:rowOff>
    </xdr:to>
    <xdr:pic>
      <xdr:nvPicPr>
        <xdr:cNvPr id="2" name="Picture 1" descr="DMRA Logo">
          <a:extLst>
            <a:ext uri="{FF2B5EF4-FFF2-40B4-BE49-F238E27FC236}">
              <a16:creationId xmlns:a16="http://schemas.microsoft.com/office/drawing/2014/main" id="{5E9702C6-2A50-4377-A057-798105C0208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08778" y="76200"/>
          <a:ext cx="1370421" cy="872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259080</xdr:colOff>
          <xdr:row>2</xdr:row>
          <xdr:rowOff>198120</xdr:rowOff>
        </xdr:from>
        <xdr:to>
          <xdr:col>14</xdr:col>
          <xdr:colOff>426720</xdr:colOff>
          <xdr:row>4</xdr:row>
          <xdr:rowOff>213360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300-000001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236220</xdr:colOff>
          <xdr:row>0</xdr:row>
          <xdr:rowOff>198120</xdr:rowOff>
        </xdr:from>
        <xdr:to>
          <xdr:col>14</xdr:col>
          <xdr:colOff>434340</xdr:colOff>
          <xdr:row>1</xdr:row>
          <xdr:rowOff>213360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3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5</xdr:col>
      <xdr:colOff>41819</xdr:colOff>
      <xdr:row>0</xdr:row>
      <xdr:rowOff>10438</xdr:rowOff>
    </xdr:from>
    <xdr:to>
      <xdr:col>5</xdr:col>
      <xdr:colOff>1162595</xdr:colOff>
      <xdr:row>2</xdr:row>
      <xdr:rowOff>206381</xdr:rowOff>
    </xdr:to>
    <xdr:pic>
      <xdr:nvPicPr>
        <xdr:cNvPr id="2" name="Picture 1" descr="DMRA Logo">
          <a:extLst>
            <a:ext uri="{FF2B5EF4-FFF2-40B4-BE49-F238E27FC236}">
              <a16:creationId xmlns:a16="http://schemas.microsoft.com/office/drawing/2014/main" id="{C6A6BF86-E11B-4854-ABC0-DFA90CE3D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3764" y="10438"/>
          <a:ext cx="1120776" cy="968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8</xdr:col>
          <xdr:colOff>274320</xdr:colOff>
          <xdr:row>2</xdr:row>
          <xdr:rowOff>182880</xdr:rowOff>
        </xdr:from>
        <xdr:to>
          <xdr:col>12</xdr:col>
          <xdr:colOff>441960</xdr:colOff>
          <xdr:row>4</xdr:row>
          <xdr:rowOff>198120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251460</xdr:colOff>
          <xdr:row>0</xdr:row>
          <xdr:rowOff>190500</xdr:rowOff>
        </xdr:from>
        <xdr:to>
          <xdr:col>12</xdr:col>
          <xdr:colOff>449580</xdr:colOff>
          <xdr:row>1</xdr:row>
          <xdr:rowOff>198120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34199</xdr:colOff>
      <xdr:row>0</xdr:row>
      <xdr:rowOff>0</xdr:rowOff>
    </xdr:from>
    <xdr:to>
      <xdr:col>5</xdr:col>
      <xdr:colOff>1154975</xdr:colOff>
      <xdr:row>2</xdr:row>
      <xdr:rowOff>195943</xdr:rowOff>
    </xdr:to>
    <xdr:pic>
      <xdr:nvPicPr>
        <xdr:cNvPr id="2" name="Picture 1" descr="DMRA Logo">
          <a:extLst>
            <a:ext uri="{FF2B5EF4-FFF2-40B4-BE49-F238E27FC236}">
              <a16:creationId xmlns:a16="http://schemas.microsoft.com/office/drawing/2014/main" id="{B7369FAC-967D-4545-B541-C13683DF8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1259" y="0"/>
          <a:ext cx="1120776" cy="9655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8</xdr:col>
          <xdr:colOff>434340</xdr:colOff>
          <xdr:row>2</xdr:row>
          <xdr:rowOff>160020</xdr:rowOff>
        </xdr:from>
        <xdr:to>
          <xdr:col>12</xdr:col>
          <xdr:colOff>601980</xdr:colOff>
          <xdr:row>4</xdr:row>
          <xdr:rowOff>175260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500-000001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411480</xdr:colOff>
          <xdr:row>0</xdr:row>
          <xdr:rowOff>160020</xdr:rowOff>
        </xdr:from>
        <xdr:to>
          <xdr:col>13</xdr:col>
          <xdr:colOff>0</xdr:colOff>
          <xdr:row>1</xdr:row>
          <xdr:rowOff>175260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5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601980</xdr:colOff>
          <xdr:row>1</xdr:row>
          <xdr:rowOff>167640</xdr:rowOff>
        </xdr:from>
        <xdr:to>
          <xdr:col>8</xdr:col>
          <xdr:colOff>137160</xdr:colOff>
          <xdr:row>2</xdr:row>
          <xdr:rowOff>259080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600" b="1" i="0" u="sng" strike="noStrike" baseline="30000">
                  <a:solidFill>
                    <a:srgbClr val="000000"/>
                  </a:solidFill>
                  <a:latin typeface="Aptos Narrow"/>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0</xdr:row>
          <xdr:rowOff>1493520</xdr:rowOff>
        </xdr:from>
        <xdr:to>
          <xdr:col>14</xdr:col>
          <xdr:colOff>312420</xdr:colOff>
          <xdr:row>2</xdr:row>
          <xdr:rowOff>243840</xdr:rowOff>
        </xdr:to>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06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45720</xdr:colOff>
          <xdr:row>2</xdr:row>
          <xdr:rowOff>137160</xdr:rowOff>
        </xdr:from>
        <xdr:to>
          <xdr:col>14</xdr:col>
          <xdr:colOff>91440</xdr:colOff>
          <xdr:row>3</xdr:row>
          <xdr:rowOff>60960</xdr:rowOff>
        </xdr:to>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06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4</xdr:row>
          <xdr:rowOff>106680</xdr:rowOff>
        </xdr:from>
        <xdr:to>
          <xdr:col>14</xdr:col>
          <xdr:colOff>198120</xdr:colOff>
          <xdr:row>5</xdr:row>
          <xdr:rowOff>30480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6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T3</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601980</xdr:colOff>
          <xdr:row>3</xdr:row>
          <xdr:rowOff>91440</xdr:rowOff>
        </xdr:from>
        <xdr:to>
          <xdr:col>8</xdr:col>
          <xdr:colOff>137160</xdr:colOff>
          <xdr:row>4</xdr:row>
          <xdr:rowOff>182880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600-000009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600" b="1" i="0" u="sng" strike="noStrike" baseline="30000">
                  <a:solidFill>
                    <a:srgbClr val="000000"/>
                  </a:solidFill>
                  <a:latin typeface="Aptos Narrow"/>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1150620</xdr:colOff>
          <xdr:row>1</xdr:row>
          <xdr:rowOff>160020</xdr:rowOff>
        </xdr:from>
        <xdr:to>
          <xdr:col>10</xdr:col>
          <xdr:colOff>472440</xdr:colOff>
          <xdr:row>2</xdr:row>
          <xdr:rowOff>251460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6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xdr:twoCellAnchor>
    <xdr:from>
      <xdr:col>0</xdr:col>
      <xdr:colOff>0</xdr:colOff>
      <xdr:row>0</xdr:row>
      <xdr:rowOff>152400</xdr:rowOff>
    </xdr:from>
    <xdr:to>
      <xdr:col>14</xdr:col>
      <xdr:colOff>7620</xdr:colOff>
      <xdr:row>0</xdr:row>
      <xdr:rowOff>1181100</xdr:rowOff>
    </xdr:to>
    <xdr:sp macro="" textlink="">
      <xdr:nvSpPr>
        <xdr:cNvPr id="4" name="TextBox 3">
          <a:extLst>
            <a:ext uri="{FF2B5EF4-FFF2-40B4-BE49-F238E27FC236}">
              <a16:creationId xmlns:a16="http://schemas.microsoft.com/office/drawing/2014/main" id="{1220E196-5A20-9089-2A14-FDA40156F00E}"/>
            </a:ext>
          </a:extLst>
        </xdr:cNvPr>
        <xdr:cNvSpPr txBox="1"/>
      </xdr:nvSpPr>
      <xdr:spPr>
        <a:xfrm>
          <a:off x="0" y="152400"/>
          <a:ext cx="14089380" cy="102870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u="sng"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DELHI</a:t>
          </a:r>
          <a:r>
            <a:rPr lang="en-US" sz="3600" b="1" u="sng"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METRO  RAIL  CORPORATION  ACADEMY  (  DMRA  )</a:t>
          </a:r>
        </a:p>
        <a:p>
          <a:pPr algn="ctr"/>
          <a:r>
            <a:rPr lang="en-US" sz="2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Schedule</a:t>
          </a:r>
          <a:r>
            <a:rPr lang="en-US" sz="20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Work Place, Metro Train Depot, Shashtri Park, Delhi</a:t>
          </a:r>
          <a:endParaRPr lang="en-US" sz="2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clientData/>
  </xdr:twoCellAnchor>
  <xdr:twoCellAnchor>
    <xdr:from>
      <xdr:col>0</xdr:col>
      <xdr:colOff>213360</xdr:colOff>
      <xdr:row>0</xdr:row>
      <xdr:rowOff>190500</xdr:rowOff>
    </xdr:from>
    <xdr:to>
      <xdr:col>1</xdr:col>
      <xdr:colOff>92076</xdr:colOff>
      <xdr:row>0</xdr:row>
      <xdr:rowOff>1161143</xdr:rowOff>
    </xdr:to>
    <xdr:pic>
      <xdr:nvPicPr>
        <xdr:cNvPr id="2" name="Picture 1" descr="DMRA Logo">
          <a:extLst>
            <a:ext uri="{FF2B5EF4-FFF2-40B4-BE49-F238E27FC236}">
              <a16:creationId xmlns:a16="http://schemas.microsoft.com/office/drawing/2014/main" id="{6F785948-2B93-4225-BAB7-80E06EDCF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90500"/>
          <a:ext cx="1120776" cy="970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411480</xdr:colOff>
      <xdr:row>0</xdr:row>
      <xdr:rowOff>182880</xdr:rowOff>
    </xdr:from>
    <xdr:to>
      <xdr:col>13</xdr:col>
      <xdr:colOff>259716</xdr:colOff>
      <xdr:row>0</xdr:row>
      <xdr:rowOff>1153523</xdr:rowOff>
    </xdr:to>
    <xdr:pic>
      <xdr:nvPicPr>
        <xdr:cNvPr id="3" name="Picture 2" descr="DMRA Logo">
          <a:extLst>
            <a:ext uri="{FF2B5EF4-FFF2-40B4-BE49-F238E27FC236}">
              <a16:creationId xmlns:a16="http://schemas.microsoft.com/office/drawing/2014/main" id="{9D523C8D-9AA8-4895-911A-E08A9E6394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86360" y="182880"/>
          <a:ext cx="1120776" cy="970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8</xdr:col>
          <xdr:colOff>1158240</xdr:colOff>
          <xdr:row>3</xdr:row>
          <xdr:rowOff>53340</xdr:rowOff>
        </xdr:from>
        <xdr:to>
          <xdr:col>10</xdr:col>
          <xdr:colOff>480060</xdr:colOff>
          <xdr:row>4</xdr:row>
          <xdr:rowOff>144780</xdr:rowOff>
        </xdr:to>
        <xdr:sp macro="" textlink="">
          <xdr:nvSpPr>
            <xdr:cNvPr id="1603" name="Button 579" hidden="1">
              <a:extLst>
                <a:ext uri="{63B3BB69-23CF-44E3-9099-C40C66FF867C}">
                  <a14:compatExt spid="_x0000_s1603"/>
                </a:ext>
                <a:ext uri="{FF2B5EF4-FFF2-40B4-BE49-F238E27FC236}">
                  <a16:creationId xmlns:a16="http://schemas.microsoft.com/office/drawing/2014/main" id="{00000000-0008-0000-0600-00004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HOME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830580</xdr:colOff>
          <xdr:row>2</xdr:row>
          <xdr:rowOff>7620</xdr:rowOff>
        </xdr:from>
        <xdr:to>
          <xdr:col>5</xdr:col>
          <xdr:colOff>426720</xdr:colOff>
          <xdr:row>2</xdr:row>
          <xdr:rowOff>281940</xdr:rowOff>
        </xdr:to>
        <xdr:sp macro="" textlink="">
          <xdr:nvSpPr>
            <xdr:cNvPr id="35846" name="Button 6" hidden="1">
              <a:extLst>
                <a:ext uri="{63B3BB69-23CF-44E3-9099-C40C66FF867C}">
                  <a14:compatExt spid="_x0000_s35846"/>
                </a:ext>
                <a:ext uri="{FF2B5EF4-FFF2-40B4-BE49-F238E27FC236}">
                  <a16:creationId xmlns:a16="http://schemas.microsoft.com/office/drawing/2014/main" id="{00000000-0008-0000-0700-000006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600" b="1" i="0" u="sng" strike="noStrike" baseline="30000">
                  <a:solidFill>
                    <a:srgbClr val="000000"/>
                  </a:solidFill>
                  <a:latin typeface="Aptos Narrow"/>
                </a:rPr>
                <a:t>TOPIC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6</xdr:row>
          <xdr:rowOff>30480</xdr:rowOff>
        </xdr:from>
        <xdr:to>
          <xdr:col>0</xdr:col>
          <xdr:colOff>1348740</xdr:colOff>
          <xdr:row>6</xdr:row>
          <xdr:rowOff>304800</xdr:rowOff>
        </xdr:to>
        <xdr:sp macro="" textlink="">
          <xdr:nvSpPr>
            <xdr:cNvPr id="35847" name="Button 7" hidden="1">
              <a:extLst>
                <a:ext uri="{63B3BB69-23CF-44E3-9099-C40C66FF867C}">
                  <a14:compatExt spid="_x0000_s35847"/>
                </a:ext>
                <a:ext uri="{FF2B5EF4-FFF2-40B4-BE49-F238E27FC236}">
                  <a16:creationId xmlns:a16="http://schemas.microsoft.com/office/drawing/2014/main" id="{00000000-0008-0000-0700-000007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2</xdr:row>
          <xdr:rowOff>53340</xdr:rowOff>
        </xdr:from>
        <xdr:to>
          <xdr:col>0</xdr:col>
          <xdr:colOff>1310640</xdr:colOff>
          <xdr:row>2</xdr:row>
          <xdr:rowOff>327660</xdr:rowOff>
        </xdr:to>
        <xdr:sp macro="" textlink="">
          <xdr:nvSpPr>
            <xdr:cNvPr id="35849" name="Button 9" hidden="1">
              <a:extLst>
                <a:ext uri="{63B3BB69-23CF-44E3-9099-C40C66FF867C}">
                  <a14:compatExt spid="_x0000_s35849"/>
                </a:ext>
                <a:ext uri="{FF2B5EF4-FFF2-40B4-BE49-F238E27FC236}">
                  <a16:creationId xmlns:a16="http://schemas.microsoft.com/office/drawing/2014/main" id="{00000000-0008-0000-0700-000009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UPLOAD MODULE</a:t>
              </a:r>
            </a:p>
          </xdr:txBody>
        </xdr:sp>
        <xdr:clientData fPrintsWithSheet="0"/>
      </xdr:twoCellAnchor>
    </mc:Choice>
    <mc:Fallback/>
  </mc:AlternateContent>
  <xdr:twoCellAnchor>
    <xdr:from>
      <xdr:col>0</xdr:col>
      <xdr:colOff>30480</xdr:colOff>
      <xdr:row>0</xdr:row>
      <xdr:rowOff>152400</xdr:rowOff>
    </xdr:from>
    <xdr:to>
      <xdr:col>12</xdr:col>
      <xdr:colOff>266700</xdr:colOff>
      <xdr:row>0</xdr:row>
      <xdr:rowOff>1181100</xdr:rowOff>
    </xdr:to>
    <xdr:sp macro="" textlink="">
      <xdr:nvSpPr>
        <xdr:cNvPr id="2" name="TextBox 1">
          <a:extLst>
            <a:ext uri="{FF2B5EF4-FFF2-40B4-BE49-F238E27FC236}">
              <a16:creationId xmlns:a16="http://schemas.microsoft.com/office/drawing/2014/main" id="{CF108B24-DBA7-43D9-8749-41A01FF5EFE0}"/>
            </a:ext>
          </a:extLst>
        </xdr:cNvPr>
        <xdr:cNvSpPr txBox="1"/>
      </xdr:nvSpPr>
      <xdr:spPr>
        <a:xfrm>
          <a:off x="30480" y="152400"/>
          <a:ext cx="14150340" cy="102870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u="none"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a:t>
          </a:r>
          <a:r>
            <a:rPr lang="en-US" sz="3600" b="1" u="sng"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DELHI</a:t>
          </a:r>
          <a:r>
            <a:rPr lang="en-US" sz="3600" b="1" u="sng"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METRO  RAIL  CORPORATION  ACADEMY  (DMRCA)</a:t>
          </a:r>
        </a:p>
        <a:p>
          <a:pPr algn="ctr"/>
          <a:r>
            <a:rPr lang="en-US" sz="20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Home Page, Metro Train Depot, Shashtri Park, Delhi</a:t>
          </a:r>
          <a:endParaRPr lang="en-US" sz="2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clientData/>
  </xdr:twoCellAnchor>
  <xdr:twoCellAnchor>
    <xdr:from>
      <xdr:col>0</xdr:col>
      <xdr:colOff>236220</xdr:colOff>
      <xdr:row>0</xdr:row>
      <xdr:rowOff>167640</xdr:rowOff>
    </xdr:from>
    <xdr:to>
      <xdr:col>1</xdr:col>
      <xdr:colOff>114936</xdr:colOff>
      <xdr:row>0</xdr:row>
      <xdr:rowOff>1138283</xdr:rowOff>
    </xdr:to>
    <xdr:pic>
      <xdr:nvPicPr>
        <xdr:cNvPr id="3" name="Picture 2" descr="DMRA Logo">
          <a:extLst>
            <a:ext uri="{FF2B5EF4-FFF2-40B4-BE49-F238E27FC236}">
              <a16:creationId xmlns:a16="http://schemas.microsoft.com/office/drawing/2014/main" id="{71DBF91D-D374-4481-9343-464E8F82CE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220" y="167640"/>
          <a:ext cx="1570356" cy="970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198120</xdr:colOff>
      <xdr:row>0</xdr:row>
      <xdr:rowOff>182880</xdr:rowOff>
    </xdr:from>
    <xdr:to>
      <xdr:col>11</xdr:col>
      <xdr:colOff>534036</xdr:colOff>
      <xdr:row>0</xdr:row>
      <xdr:rowOff>1153523</xdr:rowOff>
    </xdr:to>
    <xdr:pic>
      <xdr:nvPicPr>
        <xdr:cNvPr id="4" name="Picture 3" descr="DMRA Logo">
          <a:extLst>
            <a:ext uri="{FF2B5EF4-FFF2-40B4-BE49-F238E27FC236}">
              <a16:creationId xmlns:a16="http://schemas.microsoft.com/office/drawing/2014/main" id="{EDE07D9A-F8AF-44D5-AF5B-B6C560AC99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17780" y="182880"/>
          <a:ext cx="1120776" cy="970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777240</xdr:colOff>
          <xdr:row>6</xdr:row>
          <xdr:rowOff>15240</xdr:rowOff>
        </xdr:from>
        <xdr:to>
          <xdr:col>5</xdr:col>
          <xdr:colOff>373380</xdr:colOff>
          <xdr:row>6</xdr:row>
          <xdr:rowOff>289560</xdr:rowOff>
        </xdr:to>
        <xdr:sp macro="" textlink="">
          <xdr:nvSpPr>
            <xdr:cNvPr id="35852" name="Button 12" hidden="1">
              <a:extLst>
                <a:ext uri="{63B3BB69-23CF-44E3-9099-C40C66FF867C}">
                  <a14:compatExt spid="_x0000_s35852"/>
                </a:ext>
                <a:ext uri="{FF2B5EF4-FFF2-40B4-BE49-F238E27FC236}">
                  <a16:creationId xmlns:a16="http://schemas.microsoft.com/office/drawing/2014/main" id="{00000000-0008-0000-0700-00000C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TEACHER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4</xdr:row>
          <xdr:rowOff>38100</xdr:rowOff>
        </xdr:from>
        <xdr:to>
          <xdr:col>12</xdr:col>
          <xdr:colOff>68580</xdr:colOff>
          <xdr:row>4</xdr:row>
          <xdr:rowOff>312420</xdr:rowOff>
        </xdr:to>
        <xdr:sp macro="" textlink="">
          <xdr:nvSpPr>
            <xdr:cNvPr id="35853" name="Button 13" hidden="1">
              <a:extLst>
                <a:ext uri="{63B3BB69-23CF-44E3-9099-C40C66FF867C}">
                  <a14:compatExt spid="_x0000_s35853"/>
                </a:ext>
                <a:ext uri="{FF2B5EF4-FFF2-40B4-BE49-F238E27FC236}">
                  <a16:creationId xmlns:a16="http://schemas.microsoft.com/office/drawing/2014/main" id="{00000000-0008-0000-0700-00000D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3</xdr:col>
      <xdr:colOff>73406</xdr:colOff>
      <xdr:row>0</xdr:row>
      <xdr:rowOff>0</xdr:rowOff>
    </xdr:from>
    <xdr:ext cx="9525" cy="245745"/>
    <xdr:sp macro="" textlink="">
      <xdr:nvSpPr>
        <xdr:cNvPr id="2" name="Shape 2">
          <a:extLst>
            <a:ext uri="{FF2B5EF4-FFF2-40B4-BE49-F238E27FC236}">
              <a16:creationId xmlns:a16="http://schemas.microsoft.com/office/drawing/2014/main" id="{2A65F38B-C8C0-43CD-A3BA-EAC93C87E85B}"/>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mc:AlternateContent xmlns:mc="http://schemas.openxmlformats.org/markup-compatibility/2006">
    <mc:Choice xmlns:a14="http://schemas.microsoft.com/office/drawing/2010/main" Requires="a14">
      <xdr:twoCellAnchor editAs="absolute">
        <xdr:from>
          <xdr:col>12</xdr:col>
          <xdr:colOff>396240</xdr:colOff>
          <xdr:row>0</xdr:row>
          <xdr:rowOff>259080</xdr:rowOff>
        </xdr:from>
        <xdr:to>
          <xdr:col>14</xdr:col>
          <xdr:colOff>541020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8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411480</xdr:colOff>
          <xdr:row>2</xdr:row>
          <xdr:rowOff>114300</xdr:rowOff>
        </xdr:from>
        <xdr:to>
          <xdr:col>14</xdr:col>
          <xdr:colOff>556260</xdr:colOff>
          <xdr:row>3</xdr:row>
          <xdr:rowOff>83820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PREPARE_SOURCE</a:t>
              </a:r>
            </a:p>
          </xdr:txBody>
        </xdr:sp>
        <xdr:clientData fPrintsWithSheet="0"/>
      </xdr:twoCellAnchor>
    </mc:Choice>
    <mc:Fallback/>
  </mc:AlternateContent>
  <xdr:oneCellAnchor>
    <xdr:from>
      <xdr:col>2</xdr:col>
      <xdr:colOff>73406</xdr:colOff>
      <xdr:row>0</xdr:row>
      <xdr:rowOff>0</xdr:rowOff>
    </xdr:from>
    <xdr:ext cx="9525" cy="245745"/>
    <xdr:sp macro="" textlink="">
      <xdr:nvSpPr>
        <xdr:cNvPr id="3" name="Shape 2">
          <a:extLst>
            <a:ext uri="{FF2B5EF4-FFF2-40B4-BE49-F238E27FC236}">
              <a16:creationId xmlns:a16="http://schemas.microsoft.com/office/drawing/2014/main" id="{4EAED575-48B3-47F3-8ECE-6EC4D9C7A59E}"/>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xdr:oneCellAnchor>
    <xdr:from>
      <xdr:col>2</xdr:col>
      <xdr:colOff>73406</xdr:colOff>
      <xdr:row>0</xdr:row>
      <xdr:rowOff>0</xdr:rowOff>
    </xdr:from>
    <xdr:ext cx="9525" cy="245745"/>
    <xdr:sp macro="" textlink="">
      <xdr:nvSpPr>
        <xdr:cNvPr id="4" name="Shape 2">
          <a:extLst>
            <a:ext uri="{FF2B5EF4-FFF2-40B4-BE49-F238E27FC236}">
              <a16:creationId xmlns:a16="http://schemas.microsoft.com/office/drawing/2014/main" id="{AB60D81D-9EFC-4F29-ACE5-321D6A6A829B}"/>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580EFC-D058-46DB-99CC-CDABF5A09789}" name="Table1" displayName="Table1" ref="A2:D50" totalsRowShown="0" headerRowDxfId="8" dataDxfId="7">
  <autoFilter ref="A2:D50" xr:uid="{59580EFC-D058-46DB-99CC-CDABF5A09789}"/>
  <tableColumns count="4">
    <tableColumn id="1" xr3:uid="{042AF8E6-6728-493A-A105-15644D22F6DB}" name="SNO." dataDxfId="6">
      <calculatedColumnFormula array="1">IF(Table1[[#This Row],[TOPIC LIST]]="","",INT((ROW()-3)/WORK_PLACE!$I$2+1) &amp; INDEX({"I","II","III","IV","V","VI","VII","VIII","IX","X"}, MOD(ROW()-3, WORK_PLACE!$I$2)+1))</calculatedColumnFormula>
    </tableColumn>
    <tableColumn id="2" xr3:uid="{BC42A091-751C-4557-BA44-380A9E8F8F2B}" name="TOPIC LIST" dataDxfId="5"/>
    <tableColumn id="3" xr3:uid="{19C87678-A5FA-4B95-B056-3B387217B68D}" name="TEACHER NAME" dataDxfId="4">
      <calculatedColumnFormula>IFERROR(IF(D3=0,IF($K$6=1,VLOOKUP(B3,SOURCE!$D$1:$H$1359,3,0),IF($K$6=2,VLOOKUP(B3,SOURCE!$D$1:$H$1359,4,0),VLOOKUP(B3,SOURCE!$D$1:$H$1359,5,0))),IF(D3=1,VLOOKUP(B3,SOURCE!$D$1:$H$1359,3,0),IF(D3=2,VLOOKUP(B3,SOURCE!$D$1:$H$1359,4,0),VLOOKUP(B3,SOURCE!$D$1:$H$1359,5,0))))," ")</calculatedColumnFormula>
    </tableColumn>
    <tableColumn id="4" xr3:uid="{107C8104-AA59-468E-9A1B-63C580C1C5A7}" name="STAFF CODE" dataDxfId="3"/>
  </tableColumns>
  <tableStyleInfo name="TableStyleMedium2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679C84-B3E2-4B04-89DF-E2B7776A10FF}" name="Table4" displayName="Table4" ref="C2:C51" totalsRowShown="0" headerRowDxfId="2" dataDxfId="1">
  <autoFilter ref="C2:C51" xr:uid="{F5679C84-B3E2-4B04-89DF-E2B7776A10FF}"/>
  <tableColumns count="1">
    <tableColumn id="1" xr3:uid="{87218102-66EF-46EE-BFFD-1304DBBEE593}" name="SELECT THIS WEEK TOPICS" dataDxfId="0"/>
  </tableColumns>
  <tableStyleInfo name="TableStyleMedium2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7.vml"/><Relationship Id="rId7" Type="http://schemas.openxmlformats.org/officeDocument/2006/relationships/ctrlProp" Target="../ctrlProps/ctrlProp15.xml"/><Relationship Id="rId12"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image" Target="../media/image2.jpeg"/><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22.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table" Target="../tables/table2.xml"/><Relationship Id="rId4" Type="http://schemas.openxmlformats.org/officeDocument/2006/relationships/image" Target="../media/image3.png"/><Relationship Id="rId9"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CF97C-03C3-41BE-A445-07C58A270751}">
  <sheetPr codeName="Sheet17"/>
  <dimension ref="A1:J29"/>
  <sheetViews>
    <sheetView view="pageBreakPreview" zoomScale="60" zoomScaleNormal="100" workbookViewId="0">
      <selection activeCell="L10" sqref="L10"/>
    </sheetView>
  </sheetViews>
  <sheetFormatPr defaultRowHeight="14.4"/>
  <cols>
    <col min="1" max="1" width="13.5546875" style="43" customWidth="1"/>
    <col min="2" max="2" width="13.44140625" style="43" customWidth="1"/>
    <col min="3" max="3" width="19.21875" style="43" bestFit="1" customWidth="1"/>
    <col min="4" max="4" width="25.6640625" style="43" bestFit="1" customWidth="1"/>
    <col min="5" max="5" width="29.5546875" style="43" bestFit="1" customWidth="1"/>
    <col min="6" max="6" width="24.109375" style="43" customWidth="1"/>
    <col min="7" max="8" width="19.21875" style="43" bestFit="1" customWidth="1"/>
    <col min="9" max="9" width="13.6640625" style="43" bestFit="1" customWidth="1"/>
    <col min="10" max="10" width="16.77734375" style="43" customWidth="1"/>
    <col min="11" max="16384" width="8.88671875" style="43"/>
  </cols>
  <sheetData>
    <row r="1" spans="1:10" ht="42.6" customHeight="1">
      <c r="A1" s="140" t="s">
        <v>367</v>
      </c>
      <c r="B1" s="141"/>
      <c r="C1" s="142" t="s">
        <v>368</v>
      </c>
      <c r="D1" s="143"/>
      <c r="E1" s="143"/>
      <c r="F1" s="143"/>
      <c r="G1" s="143"/>
      <c r="H1" s="144"/>
      <c r="I1" s="58"/>
      <c r="J1" s="145"/>
    </row>
    <row r="2" spans="1:10" ht="18" customHeight="1">
      <c r="A2" s="140" t="s">
        <v>369</v>
      </c>
      <c r="B2" s="141"/>
      <c r="C2" s="148" t="s">
        <v>370</v>
      </c>
      <c r="D2" s="148"/>
      <c r="E2" s="148"/>
      <c r="F2" s="148"/>
      <c r="G2" s="148"/>
      <c r="H2" s="149"/>
      <c r="I2" s="58"/>
      <c r="J2" s="146"/>
    </row>
    <row r="3" spans="1:10" ht="18" customHeight="1">
      <c r="A3" s="140" t="s">
        <v>371</v>
      </c>
      <c r="B3" s="141"/>
      <c r="C3" s="148" t="s">
        <v>372</v>
      </c>
      <c r="D3" s="148"/>
      <c r="E3" s="148"/>
      <c r="F3" s="148"/>
      <c r="G3" s="148"/>
      <c r="H3" s="149"/>
      <c r="I3" s="58"/>
      <c r="J3" s="147"/>
    </row>
    <row r="4" spans="1:10" ht="23.4">
      <c r="A4" s="140" t="s">
        <v>373</v>
      </c>
      <c r="B4" s="141"/>
      <c r="C4" s="150" t="s">
        <v>374</v>
      </c>
      <c r="D4" s="151"/>
      <c r="E4" s="151"/>
      <c r="F4" s="151"/>
      <c r="G4" s="152"/>
      <c r="H4" s="59" t="s">
        <v>375</v>
      </c>
      <c r="I4" s="59" t="s">
        <v>408</v>
      </c>
      <c r="J4" s="60" t="str">
        <f>IF(WORK_PLACE2!$K$6=1,"T1",IF(WORK_PLACE2!$K$6=2,"T2","T3"))</f>
        <v>T2</v>
      </c>
    </row>
    <row r="5" spans="1:10" ht="24.6" customHeight="1">
      <c r="A5" s="153" t="s">
        <v>376</v>
      </c>
      <c r="B5" s="154"/>
      <c r="C5" s="155" t="s">
        <v>377</v>
      </c>
      <c r="D5" s="155"/>
      <c r="E5" s="156" t="s">
        <v>378</v>
      </c>
      <c r="F5" s="157"/>
      <c r="G5" s="158"/>
      <c r="H5" s="59" t="s">
        <v>379</v>
      </c>
      <c r="I5" s="59" t="s">
        <v>417</v>
      </c>
      <c r="J5" s="94">
        <f>WORK_PLACE2!$F$51</f>
        <v>1</v>
      </c>
    </row>
    <row r="6" spans="1:10" ht="15">
      <c r="A6" s="130" t="s">
        <v>380</v>
      </c>
      <c r="B6" s="130" t="s">
        <v>381</v>
      </c>
      <c r="C6" s="61" t="s">
        <v>418</v>
      </c>
      <c r="D6" s="61" t="s">
        <v>419</v>
      </c>
      <c r="E6" s="61" t="s">
        <v>420</v>
      </c>
      <c r="F6" s="61" t="s">
        <v>421</v>
      </c>
      <c r="G6" s="61" t="s">
        <v>422</v>
      </c>
      <c r="H6" s="61" t="s">
        <v>423</v>
      </c>
      <c r="I6" s="61" t="s">
        <v>424</v>
      </c>
      <c r="J6" s="62" t="s">
        <v>425</v>
      </c>
    </row>
    <row r="7" spans="1:10" ht="15.6">
      <c r="A7" s="129"/>
      <c r="B7" s="131"/>
      <c r="C7" s="63" t="s">
        <v>436</v>
      </c>
      <c r="D7" s="63" t="s">
        <v>437</v>
      </c>
      <c r="E7" s="63" t="s">
        <v>383</v>
      </c>
      <c r="F7" s="63" t="s">
        <v>384</v>
      </c>
      <c r="G7" s="63" t="s">
        <v>385</v>
      </c>
      <c r="H7" s="63" t="s">
        <v>438</v>
      </c>
      <c r="I7" s="63" t="s">
        <v>439</v>
      </c>
      <c r="J7" s="64" t="s">
        <v>440</v>
      </c>
    </row>
    <row r="8" spans="1:10" ht="210" customHeight="1">
      <c r="A8" s="128"/>
      <c r="B8" s="69">
        <v>1</v>
      </c>
      <c r="C8" s="92" t="s">
        <v>8</v>
      </c>
      <c r="D8" s="65" t="s">
        <v>10</v>
      </c>
      <c r="E8" s="65" t="s">
        <v>11</v>
      </c>
      <c r="F8" s="65" t="s">
        <v>13</v>
      </c>
      <c r="G8" s="65" t="s">
        <v>15</v>
      </c>
      <c r="H8" s="65" t="s">
        <v>17</v>
      </c>
      <c r="I8" s="66" t="s">
        <v>19</v>
      </c>
      <c r="J8" s="90" t="s">
        <v>21</v>
      </c>
    </row>
    <row r="9" spans="1:10" ht="30" customHeight="1">
      <c r="A9" s="129"/>
      <c r="B9" s="91"/>
      <c r="C9" s="65" t="s">
        <v>9</v>
      </c>
      <c r="D9" s="65" t="s">
        <v>9</v>
      </c>
      <c r="E9" s="65" t="s">
        <v>12</v>
      </c>
      <c r="F9" s="65" t="s">
        <v>14</v>
      </c>
      <c r="G9" s="65" t="s">
        <v>16</v>
      </c>
      <c r="H9" s="65" t="s">
        <v>18</v>
      </c>
      <c r="I9" s="66" t="s">
        <v>20</v>
      </c>
      <c r="J9" s="90" t="s">
        <v>20</v>
      </c>
    </row>
    <row r="10" spans="1:10" ht="75">
      <c r="A10" s="88"/>
      <c r="B10" s="88">
        <v>2</v>
      </c>
      <c r="C10" s="65" t="s">
        <v>22</v>
      </c>
      <c r="D10" s="65" t="s">
        <v>23</v>
      </c>
      <c r="E10" s="65" t="s">
        <v>24</v>
      </c>
      <c r="F10" s="65" t="s">
        <v>25</v>
      </c>
      <c r="G10" s="65" t="s">
        <v>26</v>
      </c>
      <c r="H10" s="65" t="s">
        <v>27</v>
      </c>
      <c r="I10" s="66" t="s">
        <v>28</v>
      </c>
      <c r="J10" s="90" t="s">
        <v>29</v>
      </c>
    </row>
    <row r="11" spans="1:10" ht="30">
      <c r="A11" s="88"/>
      <c r="B11" s="88"/>
      <c r="C11" s="65" t="s">
        <v>20</v>
      </c>
      <c r="D11" s="65" t="s">
        <v>20</v>
      </c>
      <c r="E11" s="65" t="s">
        <v>20</v>
      </c>
      <c r="F11" s="65" t="s">
        <v>20</v>
      </c>
      <c r="G11" s="65" t="s">
        <v>20</v>
      </c>
      <c r="H11" s="65" t="s">
        <v>20</v>
      </c>
      <c r="I11" s="66" t="s">
        <v>20</v>
      </c>
      <c r="J11" s="90" t="s">
        <v>20</v>
      </c>
    </row>
    <row r="12" spans="1:10" ht="90">
      <c r="A12" s="88"/>
      <c r="B12" s="88">
        <v>3</v>
      </c>
      <c r="C12" s="65" t="s">
        <v>30</v>
      </c>
      <c r="D12" s="65" t="s">
        <v>30</v>
      </c>
      <c r="E12" s="65" t="s">
        <v>31</v>
      </c>
      <c r="F12" s="65" t="s">
        <v>31</v>
      </c>
      <c r="G12" s="65" t="s">
        <v>31</v>
      </c>
      <c r="H12" s="65" t="s">
        <v>32</v>
      </c>
      <c r="I12" s="66" t="s">
        <v>32</v>
      </c>
      <c r="J12" s="90" t="s">
        <v>33</v>
      </c>
    </row>
    <row r="13" spans="1:10" ht="30">
      <c r="A13" s="88"/>
      <c r="B13" s="88"/>
      <c r="C13" s="65" t="s">
        <v>20</v>
      </c>
      <c r="D13" s="65" t="s">
        <v>20</v>
      </c>
      <c r="E13" s="65" t="s">
        <v>20</v>
      </c>
      <c r="F13" s="65" t="s">
        <v>20</v>
      </c>
      <c r="G13" s="65" t="s">
        <v>20</v>
      </c>
      <c r="H13" s="65" t="s">
        <v>20</v>
      </c>
      <c r="I13" s="66" t="s">
        <v>20</v>
      </c>
      <c r="J13" s="90" t="s">
        <v>20</v>
      </c>
    </row>
    <row r="14" spans="1:10" ht="120">
      <c r="A14" s="88"/>
      <c r="B14" s="88">
        <v>4</v>
      </c>
      <c r="C14" s="65" t="s">
        <v>34</v>
      </c>
      <c r="D14" s="65" t="s">
        <v>36</v>
      </c>
      <c r="E14" s="65" t="s">
        <v>37</v>
      </c>
      <c r="F14" s="65" t="s">
        <v>38</v>
      </c>
      <c r="G14" s="65" t="s">
        <v>39</v>
      </c>
      <c r="H14" s="65" t="s">
        <v>39</v>
      </c>
      <c r="I14" s="66" t="s">
        <v>40</v>
      </c>
      <c r="J14" s="90" t="s">
        <v>41</v>
      </c>
    </row>
    <row r="15" spans="1:10" ht="30">
      <c r="A15" s="88"/>
      <c r="B15" s="88"/>
      <c r="C15" s="65" t="s">
        <v>35</v>
      </c>
      <c r="D15" s="65" t="s">
        <v>35</v>
      </c>
      <c r="E15" s="65" t="s">
        <v>35</v>
      </c>
      <c r="F15" s="65" t="s">
        <v>35</v>
      </c>
      <c r="G15" s="65" t="s">
        <v>35</v>
      </c>
      <c r="H15" s="65" t="s">
        <v>35</v>
      </c>
      <c r="I15" s="66" t="s">
        <v>35</v>
      </c>
      <c r="J15" s="90" t="s">
        <v>42</v>
      </c>
    </row>
    <row r="16" spans="1:10" ht="75">
      <c r="A16" s="88"/>
      <c r="B16" s="88">
        <v>5</v>
      </c>
      <c r="C16" s="65" t="s">
        <v>43</v>
      </c>
      <c r="D16" s="65" t="s">
        <v>44</v>
      </c>
      <c r="E16" s="65" t="s">
        <v>55</v>
      </c>
      <c r="F16" s="65" t="s">
        <v>55</v>
      </c>
      <c r="G16" s="65" t="s">
        <v>426</v>
      </c>
      <c r="H16" s="65" t="s">
        <v>426</v>
      </c>
      <c r="I16" s="66" t="s">
        <v>427</v>
      </c>
      <c r="J16" s="90" t="s">
        <v>427</v>
      </c>
    </row>
    <row r="17" spans="1:10" ht="30">
      <c r="A17" s="88"/>
      <c r="B17" s="88"/>
      <c r="C17" s="65" t="s">
        <v>42</v>
      </c>
      <c r="D17" s="65" t="s">
        <v>42</v>
      </c>
      <c r="E17" s="65" t="s">
        <v>46</v>
      </c>
      <c r="F17" s="65" t="s">
        <v>448</v>
      </c>
      <c r="G17" s="65" t="s">
        <v>64</v>
      </c>
      <c r="H17" s="65" t="s">
        <v>64</v>
      </c>
      <c r="I17" s="66" t="s">
        <v>47</v>
      </c>
      <c r="J17" s="90" t="s">
        <v>47</v>
      </c>
    </row>
    <row r="18" spans="1:10" ht="105">
      <c r="A18" s="88"/>
      <c r="B18" s="88">
        <v>6</v>
      </c>
      <c r="C18" s="65" t="s">
        <v>49</v>
      </c>
      <c r="D18" s="65" t="s">
        <v>428</v>
      </c>
      <c r="E18" s="65" t="s">
        <v>429</v>
      </c>
      <c r="F18" s="65" t="s">
        <v>429</v>
      </c>
      <c r="G18" s="65" t="s">
        <v>430</v>
      </c>
      <c r="H18" s="65" t="s">
        <v>431</v>
      </c>
      <c r="I18" s="66" t="s">
        <v>432</v>
      </c>
      <c r="J18" s="90" t="s">
        <v>433</v>
      </c>
    </row>
    <row r="19" spans="1:10" ht="30">
      <c r="A19" s="88"/>
      <c r="B19" s="88"/>
      <c r="C19" s="65" t="s">
        <v>362</v>
      </c>
      <c r="D19" s="65" t="s">
        <v>362</v>
      </c>
      <c r="E19" s="65" t="s">
        <v>53</v>
      </c>
      <c r="F19" s="65" t="s">
        <v>53</v>
      </c>
      <c r="G19" s="65" t="s">
        <v>45</v>
      </c>
      <c r="H19" s="65" t="s">
        <v>362</v>
      </c>
      <c r="I19" s="66" t="s">
        <v>56</v>
      </c>
      <c r="J19" s="90" t="s">
        <v>46</v>
      </c>
    </row>
    <row r="20" spans="1:10" ht="19.8" customHeight="1">
      <c r="A20" s="69" t="s">
        <v>390</v>
      </c>
      <c r="B20" s="132" t="s">
        <v>391</v>
      </c>
      <c r="C20" s="133"/>
      <c r="D20" s="65" t="s">
        <v>392</v>
      </c>
      <c r="E20" s="65" t="s">
        <v>393</v>
      </c>
      <c r="F20" s="65" t="s">
        <v>394</v>
      </c>
      <c r="G20" s="132" t="s">
        <v>395</v>
      </c>
      <c r="H20" s="134"/>
      <c r="I20" s="134"/>
      <c r="J20" s="133"/>
    </row>
    <row r="21" spans="1:10" ht="30">
      <c r="A21" s="70"/>
      <c r="B21" s="71"/>
      <c r="C21" s="71" t="s">
        <v>362</v>
      </c>
      <c r="D21" s="72" t="s">
        <v>362</v>
      </c>
      <c r="E21" s="72" t="s">
        <v>53</v>
      </c>
      <c r="F21" s="72" t="s">
        <v>53</v>
      </c>
      <c r="G21" s="72" t="s">
        <v>45</v>
      </c>
      <c r="H21" s="73" t="s">
        <v>362</v>
      </c>
      <c r="I21" s="72" t="s">
        <v>56</v>
      </c>
      <c r="J21" s="135"/>
    </row>
    <row r="22" spans="1:10" ht="15.6">
      <c r="A22" s="74"/>
      <c r="B22" s="137" t="s">
        <v>396</v>
      </c>
      <c r="C22" s="138"/>
      <c r="D22" s="74"/>
      <c r="E22" s="137" t="s">
        <v>397</v>
      </c>
      <c r="F22" s="138"/>
      <c r="G22" s="74"/>
      <c r="H22" s="137" t="s">
        <v>398</v>
      </c>
      <c r="I22" s="138"/>
      <c r="J22" s="136"/>
    </row>
    <row r="23" spans="1:10" ht="15.6">
      <c r="A23" s="139" t="s">
        <v>399</v>
      </c>
      <c r="B23" s="139"/>
      <c r="C23" s="139"/>
      <c r="D23" s="139"/>
      <c r="E23" s="74"/>
      <c r="F23" s="74"/>
      <c r="G23" s="74"/>
      <c r="H23" s="74"/>
      <c r="I23" s="75"/>
      <c r="J23" s="136"/>
    </row>
    <row r="24" spans="1:10" ht="15.6">
      <c r="A24" s="139" t="s">
        <v>400</v>
      </c>
      <c r="B24" s="139"/>
      <c r="C24" s="139"/>
      <c r="D24" s="139"/>
      <c r="E24" s="74"/>
      <c r="F24" s="74"/>
      <c r="G24" s="74"/>
      <c r="H24" s="74"/>
      <c r="I24" s="74"/>
      <c r="J24" s="136"/>
    </row>
    <row r="25" spans="1:10" ht="15.6">
      <c r="A25" s="139" t="s">
        <v>401</v>
      </c>
      <c r="B25" s="139"/>
      <c r="C25" s="139"/>
      <c r="D25" s="139"/>
      <c r="E25" s="74"/>
      <c r="F25" s="74"/>
      <c r="G25" s="74"/>
      <c r="H25" s="74"/>
      <c r="I25" s="74"/>
      <c r="J25" s="136"/>
    </row>
    <row r="26" spans="1:10" ht="15.6">
      <c r="A26" s="139" t="s">
        <v>402</v>
      </c>
      <c r="B26" s="139"/>
      <c r="C26" s="139"/>
      <c r="D26" s="139"/>
      <c r="E26" s="74"/>
      <c r="F26" s="74"/>
      <c r="G26" s="74"/>
      <c r="H26" s="74"/>
      <c r="I26" s="74"/>
      <c r="J26" s="136"/>
    </row>
    <row r="27" spans="1:10" ht="15.6">
      <c r="A27" s="139" t="s">
        <v>403</v>
      </c>
      <c r="B27" s="139"/>
      <c r="C27" s="139"/>
      <c r="D27" s="139"/>
      <c r="E27" s="74"/>
      <c r="F27" s="74"/>
      <c r="G27" s="74"/>
      <c r="H27" s="74"/>
      <c r="I27" s="74"/>
      <c r="J27" s="136"/>
    </row>
    <row r="28" spans="1:10" ht="15.6">
      <c r="A28" s="139" t="s">
        <v>404</v>
      </c>
      <c r="B28" s="139"/>
      <c r="C28" s="139"/>
      <c r="D28" s="139"/>
      <c r="E28" s="74"/>
      <c r="F28" s="74"/>
      <c r="G28" s="74"/>
      <c r="H28" s="74"/>
      <c r="I28" s="74"/>
      <c r="J28" s="136"/>
    </row>
    <row r="29" spans="1:10" ht="15.6">
      <c r="A29" s="139" t="s">
        <v>405</v>
      </c>
      <c r="B29" s="139"/>
      <c r="C29" s="139"/>
      <c r="D29" s="139"/>
      <c r="E29" s="74"/>
      <c r="F29" s="74"/>
      <c r="G29" s="74"/>
      <c r="H29" s="74"/>
      <c r="I29" s="74"/>
      <c r="J29" s="136"/>
    </row>
  </sheetData>
  <sheetProtection algorithmName="SHA-512" hashValue="J86T039FSN4CWr2OdfyjYRE2ritZTOwN319We/ac4eE+xcc8DSZqn+9voGTGVyKKmxUUTvHCsBGzVUqYSOlhdw==" saltValue="ZPb357GCS028t1IsupX03A==" spinCount="100000" sheet="1" objects="1" scenarios="1"/>
  <mergeCells count="28">
    <mergeCell ref="A4:B4"/>
    <mergeCell ref="C4:G4"/>
    <mergeCell ref="A5:B5"/>
    <mergeCell ref="C5:D5"/>
    <mergeCell ref="E5:G5"/>
    <mergeCell ref="A1:B1"/>
    <mergeCell ref="C1:H1"/>
    <mergeCell ref="J1:J3"/>
    <mergeCell ref="A2:B2"/>
    <mergeCell ref="C2:H2"/>
    <mergeCell ref="A3:B3"/>
    <mergeCell ref="C3:H3"/>
    <mergeCell ref="J21:J29"/>
    <mergeCell ref="B22:C22"/>
    <mergeCell ref="E22:F22"/>
    <mergeCell ref="H22:I22"/>
    <mergeCell ref="A23:D23"/>
    <mergeCell ref="A24:D24"/>
    <mergeCell ref="A25:D25"/>
    <mergeCell ref="A26:D26"/>
    <mergeCell ref="A27:D27"/>
    <mergeCell ref="A28:D28"/>
    <mergeCell ref="A29:D29"/>
    <mergeCell ref="A8:A9"/>
    <mergeCell ref="A6:A7"/>
    <mergeCell ref="B6:B7"/>
    <mergeCell ref="B20:C20"/>
    <mergeCell ref="G20:J20"/>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COUNT_Button1_Click">
                <anchor moveWithCells="1" sizeWithCells="1">
                  <from>
                    <xdr:col>11</xdr:col>
                    <xdr:colOff>205740</xdr:colOff>
                    <xdr:row>3</xdr:row>
                    <xdr:rowOff>99060</xdr:rowOff>
                  </from>
                  <to>
                    <xdr:col>15</xdr:col>
                    <xdr:colOff>373380</xdr:colOff>
                    <xdr:row>5</xdr:row>
                    <xdr:rowOff>22860</xdr:rowOff>
                  </to>
                </anchor>
              </controlPr>
            </control>
          </mc:Choice>
        </mc:AlternateContent>
        <mc:AlternateContent xmlns:mc="http://schemas.openxmlformats.org/markup-compatibility/2006">
          <mc:Choice Requires="x14">
            <control shapeId="26627" r:id="rId5" name="Button 3">
              <controlPr defaultSize="0" print="0" autoFill="0" autoPict="0" macro="[0]!SCHEDULE86_Button2_Click">
                <anchor moveWithCells="1" sizeWithCells="1">
                  <from>
                    <xdr:col>11</xdr:col>
                    <xdr:colOff>182880</xdr:colOff>
                    <xdr:row>0</xdr:row>
                    <xdr:rowOff>327660</xdr:rowOff>
                  </from>
                  <to>
                    <xdr:col>15</xdr:col>
                    <xdr:colOff>381000</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FB159-B951-4AE0-98A5-82DD3131BF84}">
  <sheetPr codeName="Sheet15"/>
  <dimension ref="A1:J27"/>
  <sheetViews>
    <sheetView view="pageBreakPreview" zoomScale="90" zoomScaleNormal="100" zoomScaleSheetLayoutView="90" workbookViewId="0">
      <selection activeCell="K8" sqref="K8"/>
    </sheetView>
  </sheetViews>
  <sheetFormatPr defaultRowHeight="14.4"/>
  <cols>
    <col min="1" max="1" width="13.5546875" style="43" customWidth="1"/>
    <col min="2" max="2" width="13.44140625" style="43" customWidth="1"/>
    <col min="3" max="3" width="19.21875" style="43" bestFit="1" customWidth="1"/>
    <col min="4" max="4" width="25.6640625" style="43" bestFit="1" customWidth="1"/>
    <col min="5" max="5" width="29.5546875" style="43" bestFit="1" customWidth="1"/>
    <col min="6" max="6" width="24.109375" style="43" customWidth="1"/>
    <col min="7" max="8" width="19.21875" style="43" bestFit="1" customWidth="1"/>
    <col min="9" max="9" width="13.6640625" style="43" bestFit="1" customWidth="1"/>
    <col min="10" max="10" width="16.77734375" style="43" customWidth="1"/>
    <col min="11" max="16384" width="8.88671875" style="43"/>
  </cols>
  <sheetData>
    <row r="1" spans="1:10" ht="42.6" customHeight="1">
      <c r="A1" s="140" t="s">
        <v>367</v>
      </c>
      <c r="B1" s="141"/>
      <c r="C1" s="142" t="s">
        <v>368</v>
      </c>
      <c r="D1" s="143"/>
      <c r="E1" s="143"/>
      <c r="F1" s="143"/>
      <c r="G1" s="143"/>
      <c r="H1" s="144"/>
      <c r="I1" s="58"/>
      <c r="J1" s="145"/>
    </row>
    <row r="2" spans="1:10" ht="18" customHeight="1">
      <c r="A2" s="140" t="s">
        <v>369</v>
      </c>
      <c r="B2" s="141"/>
      <c r="C2" s="148" t="s">
        <v>370</v>
      </c>
      <c r="D2" s="148"/>
      <c r="E2" s="148"/>
      <c r="F2" s="148"/>
      <c r="G2" s="148"/>
      <c r="H2" s="149"/>
      <c r="I2" s="58"/>
      <c r="J2" s="146"/>
    </row>
    <row r="3" spans="1:10" ht="18" customHeight="1">
      <c r="A3" s="140" t="s">
        <v>371</v>
      </c>
      <c r="B3" s="141"/>
      <c r="C3" s="148" t="s">
        <v>372</v>
      </c>
      <c r="D3" s="148"/>
      <c r="E3" s="148"/>
      <c r="F3" s="148"/>
      <c r="G3" s="148"/>
      <c r="H3" s="149"/>
      <c r="I3" s="58"/>
      <c r="J3" s="147"/>
    </row>
    <row r="4" spans="1:10" ht="23.4">
      <c r="A4" s="140" t="s">
        <v>373</v>
      </c>
      <c r="B4" s="141"/>
      <c r="C4" s="150" t="s">
        <v>374</v>
      </c>
      <c r="D4" s="151"/>
      <c r="E4" s="151"/>
      <c r="F4" s="151"/>
      <c r="G4" s="152"/>
      <c r="H4" s="59" t="s">
        <v>375</v>
      </c>
      <c r="I4" s="59" t="s">
        <v>408</v>
      </c>
      <c r="J4" s="60" t="str">
        <f>IF(WORK_PLACE2!$K$6=1,"T1",IF(WORK_PLACE2!$K$6=2,"T2","T3"))</f>
        <v>T2</v>
      </c>
    </row>
    <row r="5" spans="1:10" ht="24.6" customHeight="1">
      <c r="A5" s="153" t="s">
        <v>376</v>
      </c>
      <c r="B5" s="154"/>
      <c r="C5" s="155" t="s">
        <v>377</v>
      </c>
      <c r="D5" s="155"/>
      <c r="E5" s="156" t="s">
        <v>378</v>
      </c>
      <c r="F5" s="157"/>
      <c r="G5" s="158"/>
      <c r="H5" s="59" t="s">
        <v>379</v>
      </c>
      <c r="I5" s="59" t="s">
        <v>409</v>
      </c>
      <c r="J5" s="76">
        <f>WORK_PLACE2!$F$51</f>
        <v>1</v>
      </c>
    </row>
    <row r="6" spans="1:10" ht="15">
      <c r="A6" s="130" t="s">
        <v>380</v>
      </c>
      <c r="B6" s="130" t="s">
        <v>381</v>
      </c>
      <c r="C6" s="61" t="s">
        <v>418</v>
      </c>
      <c r="D6" s="61" t="s">
        <v>419</v>
      </c>
      <c r="E6" s="61" t="s">
        <v>420</v>
      </c>
      <c r="F6" s="61" t="s">
        <v>421</v>
      </c>
      <c r="G6" s="61" t="s">
        <v>422</v>
      </c>
      <c r="H6" s="61" t="s">
        <v>423</v>
      </c>
      <c r="I6" s="61" t="s">
        <v>424</v>
      </c>
      <c r="J6" s="62" t="s">
        <v>424</v>
      </c>
    </row>
    <row r="7" spans="1:10" ht="15.6">
      <c r="A7" s="129"/>
      <c r="B7" s="129"/>
      <c r="C7" s="63" t="s">
        <v>382</v>
      </c>
      <c r="D7" s="63" t="s">
        <v>383</v>
      </c>
      <c r="E7" s="63" t="s">
        <v>384</v>
      </c>
      <c r="F7" s="63" t="s">
        <v>385</v>
      </c>
      <c r="G7" s="63" t="s">
        <v>386</v>
      </c>
      <c r="H7" s="63" t="s">
        <v>387</v>
      </c>
      <c r="I7" s="63" t="s">
        <v>388</v>
      </c>
      <c r="J7" s="64" t="s">
        <v>389</v>
      </c>
    </row>
    <row r="8" spans="1:10" ht="195">
      <c r="A8" s="68"/>
      <c r="B8" s="68">
        <v>1</v>
      </c>
      <c r="C8" s="65" t="s">
        <v>8</v>
      </c>
      <c r="D8" s="65" t="s">
        <v>10</v>
      </c>
      <c r="E8" s="65" t="s">
        <v>11</v>
      </c>
      <c r="F8" s="65" t="s">
        <v>13</v>
      </c>
      <c r="G8" s="65" t="s">
        <v>15</v>
      </c>
      <c r="H8" s="65" t="s">
        <v>17</v>
      </c>
      <c r="I8" s="66" t="s">
        <v>19</v>
      </c>
      <c r="J8" s="67" t="s">
        <v>21</v>
      </c>
    </row>
    <row r="9" spans="1:10" ht="30">
      <c r="A9" s="68"/>
      <c r="B9" s="68"/>
      <c r="C9" s="65" t="s">
        <v>9</v>
      </c>
      <c r="D9" s="65" t="s">
        <v>9</v>
      </c>
      <c r="E9" s="65" t="s">
        <v>12</v>
      </c>
      <c r="F9" s="65" t="s">
        <v>14</v>
      </c>
      <c r="G9" s="65" t="s">
        <v>16</v>
      </c>
      <c r="H9" s="65" t="s">
        <v>18</v>
      </c>
      <c r="I9" s="66" t="s">
        <v>20</v>
      </c>
      <c r="J9" s="67" t="s">
        <v>20</v>
      </c>
    </row>
    <row r="10" spans="1:10" ht="75">
      <c r="A10" s="68"/>
      <c r="B10" s="68">
        <v>2</v>
      </c>
      <c r="C10" s="65" t="s">
        <v>22</v>
      </c>
      <c r="D10" s="65" t="s">
        <v>23</v>
      </c>
      <c r="E10" s="65" t="s">
        <v>24</v>
      </c>
      <c r="F10" s="65" t="s">
        <v>25</v>
      </c>
      <c r="G10" s="65" t="s">
        <v>26</v>
      </c>
      <c r="H10" s="65" t="s">
        <v>27</v>
      </c>
      <c r="I10" s="66" t="s">
        <v>28</v>
      </c>
      <c r="J10" s="67" t="s">
        <v>29</v>
      </c>
    </row>
    <row r="11" spans="1:10" ht="30">
      <c r="A11" s="68"/>
      <c r="B11" s="68"/>
      <c r="C11" s="65" t="s">
        <v>20</v>
      </c>
      <c r="D11" s="65" t="s">
        <v>20</v>
      </c>
      <c r="E11" s="65" t="s">
        <v>20</v>
      </c>
      <c r="F11" s="65" t="s">
        <v>20</v>
      </c>
      <c r="G11" s="65" t="s">
        <v>20</v>
      </c>
      <c r="H11" s="65" t="s">
        <v>20</v>
      </c>
      <c r="I11" s="66" t="s">
        <v>20</v>
      </c>
      <c r="J11" s="67" t="s">
        <v>20</v>
      </c>
    </row>
    <row r="12" spans="1:10" ht="90">
      <c r="A12" s="68"/>
      <c r="B12" s="68">
        <v>3</v>
      </c>
      <c r="C12" s="65" t="s">
        <v>30</v>
      </c>
      <c r="D12" s="65" t="s">
        <v>30</v>
      </c>
      <c r="E12" s="65" t="s">
        <v>31</v>
      </c>
      <c r="F12" s="65" t="s">
        <v>31</v>
      </c>
      <c r="G12" s="65" t="s">
        <v>31</v>
      </c>
      <c r="H12" s="65" t="s">
        <v>32</v>
      </c>
      <c r="I12" s="66" t="s">
        <v>32</v>
      </c>
      <c r="J12" s="67" t="s">
        <v>33</v>
      </c>
    </row>
    <row r="13" spans="1:10" ht="30">
      <c r="A13" s="68"/>
      <c r="B13" s="68"/>
      <c r="C13" s="65" t="s">
        <v>20</v>
      </c>
      <c r="D13" s="65" t="s">
        <v>20</v>
      </c>
      <c r="E13" s="65" t="s">
        <v>20</v>
      </c>
      <c r="F13" s="65" t="s">
        <v>20</v>
      </c>
      <c r="G13" s="65" t="s">
        <v>20</v>
      </c>
      <c r="H13" s="65" t="s">
        <v>20</v>
      </c>
      <c r="I13" s="66" t="s">
        <v>20</v>
      </c>
      <c r="J13" s="67" t="s">
        <v>20</v>
      </c>
    </row>
    <row r="14" spans="1:10" ht="120">
      <c r="A14" s="68"/>
      <c r="B14" s="68">
        <v>4</v>
      </c>
      <c r="C14" s="65" t="s">
        <v>34</v>
      </c>
      <c r="D14" s="65" t="s">
        <v>36</v>
      </c>
      <c r="E14" s="65" t="s">
        <v>37</v>
      </c>
      <c r="F14" s="65" t="s">
        <v>38</v>
      </c>
      <c r="G14" s="65" t="s">
        <v>39</v>
      </c>
      <c r="H14" s="65" t="s">
        <v>39</v>
      </c>
      <c r="I14" s="66" t="s">
        <v>40</v>
      </c>
      <c r="J14" s="67" t="s">
        <v>41</v>
      </c>
    </row>
    <row r="15" spans="1:10" ht="30">
      <c r="A15" s="68"/>
      <c r="B15" s="68"/>
      <c r="C15" s="65" t="s">
        <v>35</v>
      </c>
      <c r="D15" s="65" t="s">
        <v>35</v>
      </c>
      <c r="E15" s="65" t="s">
        <v>35</v>
      </c>
      <c r="F15" s="65" t="s">
        <v>35</v>
      </c>
      <c r="G15" s="65" t="s">
        <v>35</v>
      </c>
      <c r="H15" s="65" t="s">
        <v>35</v>
      </c>
      <c r="I15" s="66" t="s">
        <v>35</v>
      </c>
      <c r="J15" s="67" t="s">
        <v>42</v>
      </c>
    </row>
    <row r="16" spans="1:10" ht="75">
      <c r="A16" s="68"/>
      <c r="B16" s="68">
        <v>5</v>
      </c>
      <c r="C16" s="65" t="s">
        <v>43</v>
      </c>
      <c r="D16" s="65" t="s">
        <v>44</v>
      </c>
      <c r="E16" s="65" t="s">
        <v>55</v>
      </c>
      <c r="F16" s="65" t="s">
        <v>55</v>
      </c>
      <c r="G16" s="65" t="s">
        <v>426</v>
      </c>
      <c r="H16" s="65" t="s">
        <v>426</v>
      </c>
      <c r="I16" s="66" t="s">
        <v>427</v>
      </c>
      <c r="J16" s="67" t="s">
        <v>427</v>
      </c>
    </row>
    <row r="17" spans="1:10" ht="30">
      <c r="A17" s="68"/>
      <c r="B17" s="68"/>
      <c r="C17" s="65" t="s">
        <v>42</v>
      </c>
      <c r="D17" s="65" t="s">
        <v>42</v>
      </c>
      <c r="E17" s="65" t="s">
        <v>46</v>
      </c>
      <c r="F17" s="65" t="s">
        <v>46</v>
      </c>
      <c r="G17" s="65" t="s">
        <v>48</v>
      </c>
      <c r="H17" s="65" t="s">
        <v>64</v>
      </c>
      <c r="I17" s="66" t="s">
        <v>47</v>
      </c>
      <c r="J17" s="67" t="s">
        <v>434</v>
      </c>
    </row>
    <row r="18" spans="1:10" ht="19.8" customHeight="1">
      <c r="A18" s="69" t="s">
        <v>390</v>
      </c>
      <c r="B18" s="132" t="s">
        <v>391</v>
      </c>
      <c r="C18" s="133"/>
      <c r="D18" s="65" t="s">
        <v>392</v>
      </c>
      <c r="E18" s="65" t="s">
        <v>393</v>
      </c>
      <c r="F18" s="65" t="s">
        <v>394</v>
      </c>
      <c r="G18" s="132" t="s">
        <v>395</v>
      </c>
      <c r="H18" s="134"/>
      <c r="I18" s="134"/>
      <c r="J18" s="133"/>
    </row>
    <row r="19" spans="1:10" ht="15">
      <c r="A19" s="70"/>
      <c r="B19" s="71"/>
      <c r="C19" s="71"/>
      <c r="D19" s="72"/>
      <c r="E19" s="72"/>
      <c r="F19" s="72"/>
      <c r="G19" s="72"/>
      <c r="H19" s="73"/>
      <c r="I19" s="72"/>
      <c r="J19" s="135"/>
    </row>
    <row r="20" spans="1:10" ht="15.6">
      <c r="A20" s="74"/>
      <c r="B20" s="137" t="s">
        <v>396</v>
      </c>
      <c r="C20" s="138"/>
      <c r="D20" s="74"/>
      <c r="E20" s="137" t="s">
        <v>397</v>
      </c>
      <c r="F20" s="138"/>
      <c r="G20" s="74"/>
      <c r="H20" s="137" t="s">
        <v>398</v>
      </c>
      <c r="I20" s="138"/>
      <c r="J20" s="136"/>
    </row>
    <row r="21" spans="1:10" ht="15.6">
      <c r="A21" s="139" t="s">
        <v>399</v>
      </c>
      <c r="B21" s="139"/>
      <c r="C21" s="139"/>
      <c r="D21" s="139"/>
      <c r="E21" s="74"/>
      <c r="F21" s="74"/>
      <c r="G21" s="74"/>
      <c r="H21" s="74"/>
      <c r="I21" s="75"/>
      <c r="J21" s="136"/>
    </row>
    <row r="22" spans="1:10" ht="15.6">
      <c r="A22" s="139" t="s">
        <v>400</v>
      </c>
      <c r="B22" s="139"/>
      <c r="C22" s="139"/>
      <c r="D22" s="139"/>
      <c r="E22" s="74"/>
      <c r="F22" s="74"/>
      <c r="G22" s="74"/>
      <c r="H22" s="74"/>
      <c r="I22" s="74"/>
      <c r="J22" s="136"/>
    </row>
    <row r="23" spans="1:10" ht="15.6">
      <c r="A23" s="139" t="s">
        <v>401</v>
      </c>
      <c r="B23" s="139"/>
      <c r="C23" s="139"/>
      <c r="D23" s="139"/>
      <c r="E23" s="74"/>
      <c r="F23" s="74"/>
      <c r="G23" s="74"/>
      <c r="H23" s="74"/>
      <c r="I23" s="74"/>
      <c r="J23" s="136"/>
    </row>
    <row r="24" spans="1:10" ht="15.6">
      <c r="A24" s="139" t="s">
        <v>402</v>
      </c>
      <c r="B24" s="139"/>
      <c r="C24" s="139"/>
      <c r="D24" s="139"/>
      <c r="E24" s="74"/>
      <c r="F24" s="74"/>
      <c r="G24" s="74"/>
      <c r="H24" s="74"/>
      <c r="I24" s="74"/>
      <c r="J24" s="136"/>
    </row>
    <row r="25" spans="1:10" ht="15.6">
      <c r="A25" s="139" t="s">
        <v>403</v>
      </c>
      <c r="B25" s="139"/>
      <c r="C25" s="139"/>
      <c r="D25" s="139"/>
      <c r="E25" s="74"/>
      <c r="F25" s="74"/>
      <c r="G25" s="74"/>
      <c r="H25" s="74"/>
      <c r="I25" s="74"/>
      <c r="J25" s="136"/>
    </row>
    <row r="26" spans="1:10" ht="15.6">
      <c r="A26" s="139" t="s">
        <v>404</v>
      </c>
      <c r="B26" s="139"/>
      <c r="C26" s="139"/>
      <c r="D26" s="139"/>
      <c r="E26" s="74"/>
      <c r="F26" s="74"/>
      <c r="G26" s="74"/>
      <c r="H26" s="74"/>
      <c r="I26" s="74"/>
      <c r="J26" s="136"/>
    </row>
    <row r="27" spans="1:10" ht="15.6">
      <c r="A27" s="139" t="s">
        <v>405</v>
      </c>
      <c r="B27" s="139"/>
      <c r="C27" s="139"/>
      <c r="D27" s="139"/>
      <c r="E27" s="74"/>
      <c r="F27" s="74"/>
      <c r="G27" s="74"/>
      <c r="H27" s="74"/>
      <c r="I27" s="74"/>
      <c r="J27" s="136"/>
    </row>
  </sheetData>
  <sheetProtection algorithmName="SHA-512" hashValue="5MmqNFBejJL4zrBdcjZUuU9B7dTsC5kU30JcgJIVEHdUaOTVPruSy9OrhTa+nxdcxlQnqNYAzKRlbERhKoKLBQ==" saltValue="GFCNj6ftSUYNiPQoE1c+qw==" spinCount="100000" sheet="1" objects="1" scenarios="1"/>
  <mergeCells count="27">
    <mergeCell ref="A4:B4"/>
    <mergeCell ref="C4:G4"/>
    <mergeCell ref="A5:B5"/>
    <mergeCell ref="C5:D5"/>
    <mergeCell ref="E5:G5"/>
    <mergeCell ref="A1:B1"/>
    <mergeCell ref="C1:H1"/>
    <mergeCell ref="J1:J3"/>
    <mergeCell ref="A2:B2"/>
    <mergeCell ref="C2:H2"/>
    <mergeCell ref="A3:B3"/>
    <mergeCell ref="C3:H3"/>
    <mergeCell ref="A6:A7"/>
    <mergeCell ref="B6:B7"/>
    <mergeCell ref="B18:C18"/>
    <mergeCell ref="G18:J18"/>
    <mergeCell ref="J19:J27"/>
    <mergeCell ref="B20:C20"/>
    <mergeCell ref="E20:F20"/>
    <mergeCell ref="H20:I20"/>
    <mergeCell ref="A21:D21"/>
    <mergeCell ref="A22:D22"/>
    <mergeCell ref="A23:D23"/>
    <mergeCell ref="A24:D24"/>
    <mergeCell ref="A25:D25"/>
    <mergeCell ref="A26:D26"/>
    <mergeCell ref="A27:D27"/>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COUNT_Button1_Click">
                <anchor moveWithCells="1" sizeWithCells="1">
                  <from>
                    <xdr:col>10</xdr:col>
                    <xdr:colOff>213360</xdr:colOff>
                    <xdr:row>3</xdr:row>
                    <xdr:rowOff>60960</xdr:rowOff>
                  </from>
                  <to>
                    <xdr:col>14</xdr:col>
                    <xdr:colOff>381000</xdr:colOff>
                    <xdr:row>4</xdr:row>
                    <xdr:rowOff>304800</xdr:rowOff>
                  </to>
                </anchor>
              </controlPr>
            </control>
          </mc:Choice>
        </mc:AlternateContent>
        <mc:AlternateContent xmlns:mc="http://schemas.openxmlformats.org/markup-compatibility/2006">
          <mc:Choice Requires="x14">
            <control shapeId="24578" r:id="rId5" name="Button 2">
              <controlPr defaultSize="0" print="0" autoFill="0" autoPict="0" macro="[0]!SCHEDULE86_Button2_Click">
                <anchor moveWithCells="1" sizeWithCells="1">
                  <from>
                    <xdr:col>10</xdr:col>
                    <xdr:colOff>190500</xdr:colOff>
                    <xdr:row>0</xdr:row>
                    <xdr:rowOff>289560</xdr:rowOff>
                  </from>
                  <to>
                    <xdr:col>14</xdr:col>
                    <xdr:colOff>388620</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196F4-5019-4459-A04A-AF78805031FC}">
  <sheetPr codeName="Sheet14"/>
  <dimension ref="A1:I29"/>
  <sheetViews>
    <sheetView showGridLines="0" view="pageBreakPreview" zoomScale="90" zoomScaleNormal="100" zoomScaleSheetLayoutView="90" workbookViewId="0">
      <selection activeCell="K8" sqref="K8"/>
    </sheetView>
  </sheetViews>
  <sheetFormatPr defaultRowHeight="14.4"/>
  <cols>
    <col min="1" max="1" width="13.5546875" style="43" customWidth="1"/>
    <col min="2" max="2" width="13.44140625" style="43" customWidth="1"/>
    <col min="3" max="3" width="19.21875" style="43" bestFit="1" customWidth="1"/>
    <col min="4" max="4" width="25.6640625" style="43" bestFit="1" customWidth="1"/>
    <col min="5" max="5" width="29.5546875" style="43" bestFit="1" customWidth="1"/>
    <col min="6" max="6" width="24.109375" style="43" customWidth="1"/>
    <col min="7" max="8" width="19.21875" style="43" bestFit="1" customWidth="1"/>
    <col min="9" max="9" width="11.21875" style="43" customWidth="1"/>
    <col min="10" max="16384" width="8.88671875" style="43"/>
  </cols>
  <sheetData>
    <row r="1" spans="1:9" ht="42.6" customHeight="1">
      <c r="A1" s="140" t="s">
        <v>367</v>
      </c>
      <c r="B1" s="141"/>
      <c r="C1" s="159" t="s">
        <v>368</v>
      </c>
      <c r="D1" s="160"/>
      <c r="E1" s="160"/>
      <c r="F1" s="160"/>
      <c r="G1" s="160"/>
      <c r="H1" s="77"/>
    </row>
    <row r="2" spans="1:9" ht="18" customHeight="1">
      <c r="A2" s="140" t="s">
        <v>369</v>
      </c>
      <c r="B2" s="141"/>
      <c r="C2" s="149" t="s">
        <v>370</v>
      </c>
      <c r="D2" s="161"/>
      <c r="E2" s="161"/>
      <c r="F2" s="161"/>
      <c r="G2" s="161"/>
      <c r="H2" s="78"/>
    </row>
    <row r="3" spans="1:9" ht="18" customHeight="1">
      <c r="A3" s="140" t="s">
        <v>371</v>
      </c>
      <c r="B3" s="141"/>
      <c r="C3" s="149" t="s">
        <v>372</v>
      </c>
      <c r="D3" s="161"/>
      <c r="E3" s="161"/>
      <c r="F3" s="161"/>
      <c r="G3" s="161"/>
      <c r="H3" s="79"/>
    </row>
    <row r="4" spans="1:9" ht="23.4">
      <c r="A4" s="140" t="s">
        <v>373</v>
      </c>
      <c r="B4" s="141"/>
      <c r="C4" s="150" t="s">
        <v>374</v>
      </c>
      <c r="D4" s="151"/>
      <c r="E4" s="151"/>
      <c r="F4" s="151"/>
      <c r="G4" s="59" t="s">
        <v>375</v>
      </c>
      <c r="H4" s="59" t="s">
        <v>408</v>
      </c>
      <c r="I4" s="60" t="str">
        <f>IF(WORK_PLACE2!$K$6=1,"T1",IF(WORK_PLACE2!$K$6=2,"T2","T3"))</f>
        <v>T2</v>
      </c>
    </row>
    <row r="5" spans="1:9" ht="24.6" customHeight="1">
      <c r="A5" s="153" t="s">
        <v>376</v>
      </c>
      <c r="B5" s="154"/>
      <c r="C5" s="155" t="s">
        <v>377</v>
      </c>
      <c r="D5" s="155"/>
      <c r="E5" s="156" t="s">
        <v>378</v>
      </c>
      <c r="F5" s="157"/>
      <c r="G5" s="80" t="s">
        <v>379</v>
      </c>
      <c r="H5" s="59" t="s">
        <v>409</v>
      </c>
      <c r="I5" s="76">
        <f>WORK_PLACE2!$F$51</f>
        <v>1</v>
      </c>
    </row>
    <row r="6" spans="1:9" ht="15">
      <c r="A6" s="130" t="s">
        <v>380</v>
      </c>
      <c r="B6" s="130" t="s">
        <v>381</v>
      </c>
      <c r="C6" s="61" t="s">
        <v>442</v>
      </c>
      <c r="D6" s="61" t="s">
        <v>419</v>
      </c>
      <c r="E6" s="61" t="s">
        <v>420</v>
      </c>
      <c r="F6" s="61" t="s">
        <v>421</v>
      </c>
      <c r="G6" s="61" t="s">
        <v>422</v>
      </c>
      <c r="H6" s="61" t="s">
        <v>423</v>
      </c>
      <c r="I6" s="118" t="s">
        <v>424</v>
      </c>
    </row>
    <row r="7" spans="1:9" ht="15">
      <c r="A7" s="129"/>
      <c r="B7" s="129"/>
      <c r="C7" s="63" t="s">
        <v>382</v>
      </c>
      <c r="D7" s="63" t="s">
        <v>383</v>
      </c>
      <c r="E7" s="63" t="s">
        <v>384</v>
      </c>
      <c r="F7" s="63" t="s">
        <v>385</v>
      </c>
      <c r="G7" s="63" t="s">
        <v>386</v>
      </c>
      <c r="H7" s="63" t="s">
        <v>387</v>
      </c>
      <c r="I7" s="119" t="s">
        <v>388</v>
      </c>
    </row>
    <row r="8" spans="1:9" ht="195">
      <c r="A8" s="68"/>
      <c r="B8" s="68">
        <v>1</v>
      </c>
      <c r="C8" s="65" t="s">
        <v>8</v>
      </c>
      <c r="D8" s="65" t="s">
        <v>10</v>
      </c>
      <c r="E8" s="65" t="s">
        <v>11</v>
      </c>
      <c r="F8" s="65" t="s">
        <v>13</v>
      </c>
      <c r="G8" s="65" t="s">
        <v>15</v>
      </c>
      <c r="H8" s="65" t="s">
        <v>17</v>
      </c>
      <c r="I8" s="116" t="s">
        <v>441</v>
      </c>
    </row>
    <row r="9" spans="1:9" ht="30">
      <c r="A9" s="68"/>
      <c r="B9" s="68"/>
      <c r="C9" s="65" t="s">
        <v>9</v>
      </c>
      <c r="D9" s="65" t="s">
        <v>9</v>
      </c>
      <c r="E9" s="65" t="s">
        <v>12</v>
      </c>
      <c r="F9" s="65" t="s">
        <v>14</v>
      </c>
      <c r="G9" s="65" t="s">
        <v>16</v>
      </c>
      <c r="H9" s="65" t="s">
        <v>18</v>
      </c>
    </row>
    <row r="10" spans="1:9" ht="45">
      <c r="A10" s="68"/>
      <c r="B10" s="68">
        <v>2</v>
      </c>
      <c r="C10" s="65" t="s">
        <v>19</v>
      </c>
      <c r="D10" s="65" t="s">
        <v>21</v>
      </c>
      <c r="E10" s="65" t="s">
        <v>22</v>
      </c>
      <c r="F10" s="65" t="s">
        <v>23</v>
      </c>
      <c r="G10" s="65" t="s">
        <v>24</v>
      </c>
      <c r="H10" s="65" t="s">
        <v>25</v>
      </c>
    </row>
    <row r="11" spans="1:9" ht="15">
      <c r="A11" s="68"/>
      <c r="B11" s="68"/>
      <c r="C11" s="65" t="s">
        <v>20</v>
      </c>
      <c r="D11" s="65" t="s">
        <v>20</v>
      </c>
      <c r="E11" s="65" t="s">
        <v>20</v>
      </c>
      <c r="F11" s="65" t="s">
        <v>20</v>
      </c>
      <c r="G11" s="65" t="s">
        <v>20</v>
      </c>
      <c r="H11" s="65" t="s">
        <v>20</v>
      </c>
    </row>
    <row r="12" spans="1:9" ht="90">
      <c r="A12" s="68"/>
      <c r="B12" s="68">
        <v>3</v>
      </c>
      <c r="C12" s="65" t="s">
        <v>26</v>
      </c>
      <c r="D12" s="65" t="s">
        <v>27</v>
      </c>
      <c r="E12" s="65" t="s">
        <v>28</v>
      </c>
      <c r="F12" s="65" t="s">
        <v>29</v>
      </c>
      <c r="G12" s="65" t="s">
        <v>30</v>
      </c>
      <c r="H12" s="65" t="s">
        <v>30</v>
      </c>
    </row>
    <row r="13" spans="1:9" ht="15">
      <c r="A13" s="68"/>
      <c r="B13" s="68"/>
      <c r="C13" s="65" t="s">
        <v>20</v>
      </c>
      <c r="D13" s="65" t="s">
        <v>20</v>
      </c>
      <c r="E13" s="65" t="s">
        <v>20</v>
      </c>
      <c r="F13" s="65" t="s">
        <v>20</v>
      </c>
      <c r="G13" s="65" t="s">
        <v>20</v>
      </c>
      <c r="H13" s="65" t="s">
        <v>20</v>
      </c>
    </row>
    <row r="14" spans="1:9" ht="30">
      <c r="A14" s="68"/>
      <c r="B14" s="68">
        <v>4</v>
      </c>
      <c r="C14" s="65" t="s">
        <v>31</v>
      </c>
      <c r="D14" s="65" t="s">
        <v>31</v>
      </c>
      <c r="E14" s="65" t="s">
        <v>31</v>
      </c>
      <c r="F14" s="65" t="s">
        <v>32</v>
      </c>
      <c r="G14" s="65" t="s">
        <v>32</v>
      </c>
      <c r="H14" s="65" t="s">
        <v>33</v>
      </c>
    </row>
    <row r="15" spans="1:9" ht="15">
      <c r="A15" s="68"/>
      <c r="B15" s="68"/>
      <c r="C15" s="65" t="s">
        <v>20</v>
      </c>
      <c r="D15" s="65" t="s">
        <v>20</v>
      </c>
      <c r="E15" s="65" t="s">
        <v>20</v>
      </c>
      <c r="F15" s="65" t="s">
        <v>20</v>
      </c>
      <c r="G15" s="65" t="s">
        <v>20</v>
      </c>
      <c r="H15" s="65" t="s">
        <v>20</v>
      </c>
    </row>
    <row r="16" spans="1:9" ht="105">
      <c r="A16" s="68"/>
      <c r="B16" s="68">
        <v>5</v>
      </c>
      <c r="C16" s="65" t="s">
        <v>34</v>
      </c>
      <c r="D16" s="65" t="s">
        <v>36</v>
      </c>
      <c r="E16" s="65" t="s">
        <v>37</v>
      </c>
      <c r="F16" s="65" t="s">
        <v>38</v>
      </c>
      <c r="G16" s="65" t="s">
        <v>39</v>
      </c>
      <c r="H16" s="65" t="s">
        <v>39</v>
      </c>
    </row>
    <row r="17" spans="1:8" ht="30">
      <c r="A17" s="68"/>
      <c r="B17" s="68"/>
      <c r="C17" s="65" t="s">
        <v>35</v>
      </c>
      <c r="D17" s="65" t="s">
        <v>35</v>
      </c>
      <c r="E17" s="65" t="s">
        <v>35</v>
      </c>
      <c r="F17" s="65" t="s">
        <v>35</v>
      </c>
      <c r="G17" s="65" t="s">
        <v>35</v>
      </c>
      <c r="H17" s="65" t="s">
        <v>35</v>
      </c>
    </row>
    <row r="18" spans="1:8" ht="90">
      <c r="A18" s="68"/>
      <c r="B18" s="68">
        <v>6</v>
      </c>
      <c r="C18" s="65" t="s">
        <v>40</v>
      </c>
      <c r="D18" s="65" t="s">
        <v>41</v>
      </c>
      <c r="E18" s="65" t="s">
        <v>43</v>
      </c>
      <c r="F18" s="65" t="s">
        <v>44</v>
      </c>
      <c r="G18" s="65" t="s">
        <v>55</v>
      </c>
      <c r="H18" s="65" t="s">
        <v>55</v>
      </c>
    </row>
    <row r="19" spans="1:8" ht="30">
      <c r="A19" s="68"/>
      <c r="B19" s="68"/>
      <c r="C19" s="65" t="s">
        <v>35</v>
      </c>
      <c r="D19" s="65" t="s">
        <v>42</v>
      </c>
      <c r="E19" s="65" t="s">
        <v>42</v>
      </c>
      <c r="F19" s="65" t="s">
        <v>42</v>
      </c>
      <c r="G19" s="65" t="s">
        <v>46</v>
      </c>
      <c r="H19" s="65" t="s">
        <v>448</v>
      </c>
    </row>
    <row r="20" spans="1:8" ht="19.8" customHeight="1">
      <c r="A20" s="69" t="s">
        <v>390</v>
      </c>
      <c r="B20" s="132" t="s">
        <v>391</v>
      </c>
      <c r="C20" s="133"/>
      <c r="D20" s="65" t="s">
        <v>392</v>
      </c>
      <c r="E20" s="65" t="s">
        <v>393</v>
      </c>
      <c r="F20" s="65" t="s">
        <v>394</v>
      </c>
      <c r="G20" s="132" t="s">
        <v>395</v>
      </c>
      <c r="H20" s="134"/>
    </row>
    <row r="21" spans="1:8" ht="15">
      <c r="A21" s="70"/>
      <c r="B21" s="71"/>
      <c r="C21" s="71"/>
      <c r="D21" s="72"/>
      <c r="E21" s="72"/>
      <c r="F21" s="72"/>
      <c r="G21" s="72"/>
      <c r="H21" s="73"/>
    </row>
    <row r="22" spans="1:8" ht="15.6">
      <c r="A22" s="74"/>
      <c r="B22" s="137" t="s">
        <v>396</v>
      </c>
      <c r="C22" s="138"/>
      <c r="D22" s="74"/>
      <c r="E22" s="137" t="s">
        <v>397</v>
      </c>
      <c r="F22" s="138"/>
      <c r="G22" s="74"/>
      <c r="H22" s="81" t="s">
        <v>398</v>
      </c>
    </row>
    <row r="23" spans="1:8" ht="15.6">
      <c r="A23" s="139" t="s">
        <v>399</v>
      </c>
      <c r="B23" s="139"/>
      <c r="C23" s="139"/>
      <c r="D23" s="139"/>
      <c r="E23" s="74"/>
      <c r="F23" s="74"/>
      <c r="G23" s="74"/>
      <c r="H23" s="74"/>
    </row>
    <row r="24" spans="1:8" ht="15.6">
      <c r="A24" s="139" t="s">
        <v>400</v>
      </c>
      <c r="B24" s="139"/>
      <c r="C24" s="139"/>
      <c r="D24" s="139"/>
      <c r="E24" s="74"/>
      <c r="F24" s="74"/>
      <c r="G24" s="74"/>
      <c r="H24" s="74"/>
    </row>
    <row r="25" spans="1:8" ht="15.6">
      <c r="A25" s="139" t="s">
        <v>401</v>
      </c>
      <c r="B25" s="139"/>
      <c r="C25" s="139"/>
      <c r="D25" s="139"/>
      <c r="E25" s="74"/>
      <c r="F25" s="74"/>
      <c r="G25" s="74"/>
      <c r="H25" s="74"/>
    </row>
    <row r="26" spans="1:8" ht="15.6">
      <c r="A26" s="139" t="s">
        <v>402</v>
      </c>
      <c r="B26" s="139"/>
      <c r="C26" s="139"/>
      <c r="D26" s="139"/>
      <c r="E26" s="74"/>
      <c r="F26" s="74"/>
      <c r="G26" s="74"/>
      <c r="H26" s="74"/>
    </row>
    <row r="27" spans="1:8" ht="15.6">
      <c r="A27" s="139" t="s">
        <v>403</v>
      </c>
      <c r="B27" s="139"/>
      <c r="C27" s="139"/>
      <c r="D27" s="139"/>
      <c r="E27" s="74"/>
      <c r="F27" s="74"/>
      <c r="G27" s="74"/>
      <c r="H27" s="74"/>
    </row>
    <row r="28" spans="1:8" ht="15.6">
      <c r="A28" s="139" t="s">
        <v>404</v>
      </c>
      <c r="B28" s="139"/>
      <c r="C28" s="139"/>
      <c r="D28" s="139"/>
      <c r="E28" s="74"/>
      <c r="F28" s="74"/>
      <c r="G28" s="74"/>
      <c r="H28" s="74"/>
    </row>
    <row r="29" spans="1:8" ht="15.6">
      <c r="A29" s="139" t="s">
        <v>405</v>
      </c>
      <c r="B29" s="139"/>
      <c r="C29" s="139"/>
      <c r="D29" s="139"/>
      <c r="E29" s="74"/>
      <c r="F29" s="74"/>
      <c r="G29" s="74"/>
      <c r="H29" s="74"/>
    </row>
  </sheetData>
  <sheetProtection algorithmName="SHA-512" hashValue="uexJREVylze1lLB9xYBo6aFJsfQcuDJdSA2mDVdIkaq0pJEH8cdj9bcHMJlstiItD46gKv7s/uLv+mSdgxQOig==" saltValue="I7avjQOhI6zTbKQs2ckVDQ==" spinCount="100000" sheet="1" objects="1" scenarios="1"/>
  <mergeCells count="24">
    <mergeCell ref="A1:B1"/>
    <mergeCell ref="A2:B2"/>
    <mergeCell ref="A3:B3"/>
    <mergeCell ref="C1:G1"/>
    <mergeCell ref="C2:G2"/>
    <mergeCell ref="C3:G3"/>
    <mergeCell ref="G20:H20"/>
    <mergeCell ref="B22:C22"/>
    <mergeCell ref="E22:F22"/>
    <mergeCell ref="C4:F4"/>
    <mergeCell ref="E5:F5"/>
    <mergeCell ref="A23:D23"/>
    <mergeCell ref="A24:D24"/>
    <mergeCell ref="A4:B4"/>
    <mergeCell ref="A5:B5"/>
    <mergeCell ref="C5:D5"/>
    <mergeCell ref="A6:A7"/>
    <mergeCell ref="B6:B7"/>
    <mergeCell ref="B20:C20"/>
    <mergeCell ref="A25:D25"/>
    <mergeCell ref="A26:D26"/>
    <mergeCell ref="A27:D27"/>
    <mergeCell ref="A28:D28"/>
    <mergeCell ref="A29:D29"/>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COUNT_Button1_Click">
                <anchor moveWithCells="1" sizeWithCells="1">
                  <from>
                    <xdr:col>9</xdr:col>
                    <xdr:colOff>274320</xdr:colOff>
                    <xdr:row>4</xdr:row>
                    <xdr:rowOff>38100</xdr:rowOff>
                  </from>
                  <to>
                    <xdr:col>13</xdr:col>
                    <xdr:colOff>441960</xdr:colOff>
                    <xdr:row>6</xdr:row>
                    <xdr:rowOff>76200</xdr:rowOff>
                  </to>
                </anchor>
              </controlPr>
            </control>
          </mc:Choice>
        </mc:AlternateContent>
        <mc:AlternateContent xmlns:mc="http://schemas.openxmlformats.org/markup-compatibility/2006">
          <mc:Choice Requires="x14">
            <control shapeId="23554" r:id="rId5" name="Button 2">
              <controlPr defaultSize="0" print="0" autoFill="0" autoPict="0" macro="[0]!SCHEDULE86_Button2_Click">
                <anchor moveWithCells="1" sizeWithCells="1">
                  <from>
                    <xdr:col>9</xdr:col>
                    <xdr:colOff>251460</xdr:colOff>
                    <xdr:row>1</xdr:row>
                    <xdr:rowOff>15240</xdr:rowOff>
                  </from>
                  <to>
                    <xdr:col>13</xdr:col>
                    <xdr:colOff>449580</xdr:colOff>
                    <xdr:row>3</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3674-B58A-45C1-8494-96E04C61AD3F}">
  <sheetPr codeName="Sheet13"/>
  <dimension ref="A1:J27"/>
  <sheetViews>
    <sheetView showGridLines="0" view="pageBreakPreview" topLeftCell="A2" zoomScale="90" zoomScaleNormal="100" zoomScaleSheetLayoutView="90" workbookViewId="0">
      <selection activeCell="J9" sqref="J9"/>
    </sheetView>
  </sheetViews>
  <sheetFormatPr defaultRowHeight="14.4"/>
  <cols>
    <col min="1" max="1" width="13.5546875" style="43" customWidth="1"/>
    <col min="2" max="2" width="13.44140625" style="43" customWidth="1"/>
    <col min="3" max="3" width="19.21875" style="43" bestFit="1" customWidth="1"/>
    <col min="4" max="4" width="25.6640625" style="43" bestFit="1" customWidth="1"/>
    <col min="5" max="5" width="29.5546875" style="43" bestFit="1" customWidth="1"/>
    <col min="6" max="6" width="24.109375" style="43" customWidth="1"/>
    <col min="7" max="8" width="19.21875" style="43" bestFit="1" customWidth="1"/>
    <col min="9" max="9" width="11.21875" style="43" customWidth="1"/>
    <col min="10" max="16384" width="8.88671875" style="43"/>
  </cols>
  <sheetData>
    <row r="1" spans="1:10" ht="42.6" customHeight="1">
      <c r="A1" s="140" t="s">
        <v>367</v>
      </c>
      <c r="B1" s="141"/>
      <c r="C1" s="159" t="s">
        <v>368</v>
      </c>
      <c r="D1" s="160"/>
      <c r="E1" s="160"/>
      <c r="F1" s="160"/>
      <c r="G1" s="160"/>
      <c r="H1" s="77"/>
    </row>
    <row r="2" spans="1:10" ht="18" customHeight="1">
      <c r="A2" s="140" t="s">
        <v>369</v>
      </c>
      <c r="B2" s="141"/>
      <c r="C2" s="149" t="s">
        <v>370</v>
      </c>
      <c r="D2" s="161"/>
      <c r="E2" s="161"/>
      <c r="F2" s="161"/>
      <c r="G2" s="161"/>
      <c r="H2" s="78"/>
    </row>
    <row r="3" spans="1:10" ht="18" customHeight="1">
      <c r="A3" s="140" t="s">
        <v>371</v>
      </c>
      <c r="B3" s="141"/>
      <c r="C3" s="149" t="s">
        <v>372</v>
      </c>
      <c r="D3" s="161"/>
      <c r="E3" s="161"/>
      <c r="F3" s="161"/>
      <c r="G3" s="161"/>
      <c r="H3" s="78"/>
    </row>
    <row r="4" spans="1:10" ht="23.4">
      <c r="A4" s="140" t="s">
        <v>373</v>
      </c>
      <c r="B4" s="141"/>
      <c r="C4" s="150" t="s">
        <v>416</v>
      </c>
      <c r="D4" s="151"/>
      <c r="E4" s="151"/>
      <c r="F4" s="151"/>
      <c r="G4" s="59" t="s">
        <v>375</v>
      </c>
      <c r="H4" s="59" t="s">
        <v>408</v>
      </c>
      <c r="I4" s="60" t="str">
        <f>IF(WORK_PLACE2!$K$6=1,"T1",IF(WORK_PLACE2!$K$6=2,"T2","T3"))</f>
        <v>T2</v>
      </c>
      <c r="J4" s="82"/>
    </row>
    <row r="5" spans="1:10" ht="24.6" customHeight="1">
      <c r="A5" s="153" t="s">
        <v>376</v>
      </c>
      <c r="B5" s="154"/>
      <c r="C5" s="155" t="s">
        <v>377</v>
      </c>
      <c r="D5" s="155"/>
      <c r="E5" s="156" t="s">
        <v>378</v>
      </c>
      <c r="F5" s="157"/>
      <c r="G5" s="80" t="s">
        <v>379</v>
      </c>
      <c r="H5" s="59" t="s">
        <v>409</v>
      </c>
      <c r="I5" s="76">
        <f>WORK_PLACE2!$F$51</f>
        <v>1</v>
      </c>
      <c r="J5" s="82"/>
    </row>
    <row r="6" spans="1:10" ht="15">
      <c r="A6" s="130" t="s">
        <v>380</v>
      </c>
      <c r="B6" s="130" t="s">
        <v>381</v>
      </c>
      <c r="C6" s="61" t="s">
        <v>442</v>
      </c>
      <c r="D6" s="61" t="s">
        <v>419</v>
      </c>
      <c r="E6" s="61" t="s">
        <v>420</v>
      </c>
      <c r="F6" s="61" t="s">
        <v>421</v>
      </c>
      <c r="G6" s="61" t="s">
        <v>422</v>
      </c>
      <c r="H6" s="61" t="s">
        <v>423</v>
      </c>
      <c r="I6" s="121" t="s">
        <v>424</v>
      </c>
    </row>
    <row r="7" spans="1:10" ht="15">
      <c r="A7" s="129"/>
      <c r="B7" s="129"/>
      <c r="C7" s="63" t="s">
        <v>382</v>
      </c>
      <c r="D7" s="63" t="s">
        <v>383</v>
      </c>
      <c r="E7" s="63" t="s">
        <v>384</v>
      </c>
      <c r="F7" s="63" t="s">
        <v>385</v>
      </c>
      <c r="G7" s="63" t="s">
        <v>386</v>
      </c>
      <c r="H7" s="63" t="s">
        <v>387</v>
      </c>
      <c r="I7" s="120" t="s">
        <v>388</v>
      </c>
    </row>
    <row r="8" spans="1:10" ht="195">
      <c r="A8" s="68"/>
      <c r="B8" s="68">
        <v>1</v>
      </c>
      <c r="C8" s="65" t="s">
        <v>8</v>
      </c>
      <c r="D8" s="65" t="s">
        <v>10</v>
      </c>
      <c r="E8" s="65" t="s">
        <v>11</v>
      </c>
      <c r="F8" s="65" t="s">
        <v>13</v>
      </c>
      <c r="G8" s="65" t="s">
        <v>15</v>
      </c>
      <c r="H8" s="122" t="s">
        <v>17</v>
      </c>
      <c r="I8" s="123" t="s">
        <v>443</v>
      </c>
    </row>
    <row r="9" spans="1:10" ht="30">
      <c r="A9" s="68"/>
      <c r="B9" s="68"/>
      <c r="C9" s="65" t="s">
        <v>9</v>
      </c>
      <c r="D9" s="65" t="s">
        <v>9</v>
      </c>
      <c r="E9" s="65" t="s">
        <v>12</v>
      </c>
      <c r="F9" s="65" t="s">
        <v>14</v>
      </c>
      <c r="G9" s="65" t="s">
        <v>16</v>
      </c>
      <c r="H9" s="122" t="s">
        <v>18</v>
      </c>
      <c r="I9" s="124"/>
    </row>
    <row r="10" spans="1:10" ht="45">
      <c r="A10" s="68"/>
      <c r="B10" s="68">
        <v>2</v>
      </c>
      <c r="C10" s="65" t="s">
        <v>19</v>
      </c>
      <c r="D10" s="65" t="s">
        <v>21</v>
      </c>
      <c r="E10" s="65" t="s">
        <v>22</v>
      </c>
      <c r="F10" s="65" t="s">
        <v>23</v>
      </c>
      <c r="G10" s="65" t="s">
        <v>24</v>
      </c>
      <c r="H10" s="122" t="s">
        <v>25</v>
      </c>
      <c r="I10" s="123" t="s">
        <v>443</v>
      </c>
    </row>
    <row r="11" spans="1:10" ht="15">
      <c r="A11" s="68"/>
      <c r="B11" s="68"/>
      <c r="C11" s="65" t="s">
        <v>20</v>
      </c>
      <c r="D11" s="65" t="s">
        <v>20</v>
      </c>
      <c r="E11" s="65" t="s">
        <v>20</v>
      </c>
      <c r="F11" s="65" t="s">
        <v>20</v>
      </c>
      <c r="G11" s="65" t="s">
        <v>20</v>
      </c>
      <c r="H11" s="122" t="s">
        <v>20</v>
      </c>
      <c r="I11" s="124"/>
    </row>
    <row r="12" spans="1:10" ht="90">
      <c r="A12" s="68"/>
      <c r="B12" s="68">
        <v>3</v>
      </c>
      <c r="C12" s="65" t="s">
        <v>26</v>
      </c>
      <c r="D12" s="65" t="s">
        <v>27</v>
      </c>
      <c r="E12" s="65" t="s">
        <v>28</v>
      </c>
      <c r="F12" s="65" t="s">
        <v>29</v>
      </c>
      <c r="G12" s="65" t="s">
        <v>30</v>
      </c>
      <c r="H12" s="122" t="s">
        <v>30</v>
      </c>
      <c r="I12" s="123" t="s">
        <v>443</v>
      </c>
    </row>
    <row r="13" spans="1:10" ht="15">
      <c r="A13" s="68"/>
      <c r="B13" s="68"/>
      <c r="C13" s="65" t="s">
        <v>20</v>
      </c>
      <c r="D13" s="65" t="s">
        <v>20</v>
      </c>
      <c r="E13" s="65" t="s">
        <v>20</v>
      </c>
      <c r="F13" s="65" t="s">
        <v>20</v>
      </c>
      <c r="G13" s="65" t="s">
        <v>20</v>
      </c>
      <c r="H13" s="122" t="s">
        <v>20</v>
      </c>
      <c r="I13" s="124"/>
    </row>
    <row r="14" spans="1:10" ht="30">
      <c r="A14" s="68"/>
      <c r="B14" s="68">
        <v>4</v>
      </c>
      <c r="C14" s="65" t="s">
        <v>31</v>
      </c>
      <c r="D14" s="65" t="s">
        <v>31</v>
      </c>
      <c r="E14" s="65" t="s">
        <v>31</v>
      </c>
      <c r="F14" s="65" t="s">
        <v>32</v>
      </c>
      <c r="G14" s="65" t="s">
        <v>32</v>
      </c>
      <c r="H14" s="122" t="s">
        <v>33</v>
      </c>
      <c r="I14" s="123" t="s">
        <v>443</v>
      </c>
    </row>
    <row r="15" spans="1:10" ht="15">
      <c r="A15" s="68"/>
      <c r="B15" s="68"/>
      <c r="C15" s="65" t="s">
        <v>20</v>
      </c>
      <c r="D15" s="65" t="s">
        <v>20</v>
      </c>
      <c r="E15" s="65" t="s">
        <v>20</v>
      </c>
      <c r="F15" s="65" t="s">
        <v>20</v>
      </c>
      <c r="G15" s="65" t="s">
        <v>20</v>
      </c>
      <c r="H15" s="122" t="s">
        <v>20</v>
      </c>
      <c r="I15" s="124"/>
    </row>
    <row r="16" spans="1:10" ht="105">
      <c r="A16" s="68"/>
      <c r="B16" s="68">
        <v>5</v>
      </c>
      <c r="C16" s="65" t="s">
        <v>34</v>
      </c>
      <c r="D16" s="65" t="s">
        <v>36</v>
      </c>
      <c r="E16" s="65" t="s">
        <v>37</v>
      </c>
      <c r="F16" s="65" t="s">
        <v>38</v>
      </c>
      <c r="G16" s="65" t="s">
        <v>39</v>
      </c>
      <c r="H16" s="122" t="s">
        <v>39</v>
      </c>
      <c r="I16" s="123" t="s">
        <v>443</v>
      </c>
    </row>
    <row r="17" spans="1:9" ht="30">
      <c r="A17" s="68"/>
      <c r="B17" s="68"/>
      <c r="C17" s="65" t="s">
        <v>35</v>
      </c>
      <c r="D17" s="65" t="s">
        <v>35</v>
      </c>
      <c r="E17" s="65" t="s">
        <v>35</v>
      </c>
      <c r="F17" s="65" t="s">
        <v>35</v>
      </c>
      <c r="G17" s="65" t="s">
        <v>35</v>
      </c>
      <c r="H17" s="122" t="s">
        <v>35</v>
      </c>
      <c r="I17" s="124"/>
    </row>
    <row r="18" spans="1:9" ht="19.8" customHeight="1">
      <c r="A18" s="69" t="s">
        <v>390</v>
      </c>
      <c r="B18" s="132" t="s">
        <v>391</v>
      </c>
      <c r="C18" s="133"/>
      <c r="D18" s="65" t="s">
        <v>392</v>
      </c>
      <c r="E18" s="65" t="s">
        <v>393</v>
      </c>
      <c r="F18" s="65" t="s">
        <v>394</v>
      </c>
      <c r="G18" s="132" t="s">
        <v>395</v>
      </c>
      <c r="H18" s="134"/>
      <c r="I18" s="124"/>
    </row>
    <row r="19" spans="1:9" ht="15">
      <c r="A19" s="70"/>
      <c r="B19" s="71"/>
      <c r="C19" s="71"/>
      <c r="D19" s="72"/>
      <c r="E19" s="72"/>
      <c r="F19" s="72"/>
      <c r="G19" s="72"/>
      <c r="H19" s="83"/>
    </row>
    <row r="20" spans="1:9" ht="15.6">
      <c r="A20" s="74"/>
      <c r="B20" s="137" t="s">
        <v>396</v>
      </c>
      <c r="C20" s="138"/>
      <c r="D20" s="74"/>
      <c r="E20" s="137" t="s">
        <v>397</v>
      </c>
      <c r="F20" s="138"/>
      <c r="G20" s="74"/>
      <c r="H20" s="84"/>
    </row>
    <row r="21" spans="1:9" ht="15.6">
      <c r="A21" s="139" t="s">
        <v>399</v>
      </c>
      <c r="B21" s="139"/>
      <c r="C21" s="139"/>
      <c r="D21" s="139"/>
      <c r="E21" s="162" t="s">
        <v>398</v>
      </c>
      <c r="F21" s="162"/>
      <c r="G21" s="74"/>
      <c r="H21" s="74"/>
    </row>
    <row r="22" spans="1:9" ht="15.6">
      <c r="A22" s="139" t="s">
        <v>400</v>
      </c>
      <c r="B22" s="139"/>
      <c r="C22" s="139"/>
      <c r="D22" s="139"/>
      <c r="E22" s="74"/>
      <c r="F22" s="74"/>
      <c r="G22" s="74"/>
      <c r="H22" s="74"/>
    </row>
    <row r="23" spans="1:9" ht="15.6">
      <c r="A23" s="139" t="s">
        <v>401</v>
      </c>
      <c r="B23" s="139"/>
      <c r="C23" s="139"/>
      <c r="D23" s="139"/>
      <c r="E23" s="74"/>
      <c r="F23" s="74"/>
      <c r="G23" s="74"/>
      <c r="H23" s="74"/>
    </row>
    <row r="24" spans="1:9" ht="15.6">
      <c r="A24" s="139" t="s">
        <v>402</v>
      </c>
      <c r="B24" s="139"/>
      <c r="C24" s="139"/>
      <c r="D24" s="139"/>
      <c r="E24" s="74"/>
      <c r="F24" s="74"/>
      <c r="G24" s="74"/>
      <c r="H24" s="74"/>
    </row>
    <row r="25" spans="1:9" ht="15.6">
      <c r="A25" s="139" t="s">
        <v>403</v>
      </c>
      <c r="B25" s="139"/>
      <c r="C25" s="139"/>
      <c r="D25" s="139"/>
      <c r="E25" s="74"/>
      <c r="F25" s="74"/>
      <c r="G25" s="74"/>
      <c r="H25" s="74"/>
    </row>
    <row r="26" spans="1:9" ht="15.6">
      <c r="A26" s="139" t="s">
        <v>404</v>
      </c>
      <c r="B26" s="139"/>
      <c r="C26" s="139"/>
      <c r="D26" s="139"/>
      <c r="E26" s="74"/>
      <c r="F26" s="74"/>
      <c r="G26" s="74"/>
      <c r="H26" s="74"/>
    </row>
    <row r="27" spans="1:9" ht="15.6">
      <c r="A27" s="139" t="s">
        <v>405</v>
      </c>
      <c r="B27" s="139"/>
      <c r="C27" s="139"/>
      <c r="D27" s="139"/>
      <c r="E27" s="74"/>
      <c r="F27" s="74"/>
      <c r="G27" s="74"/>
      <c r="H27" s="74"/>
    </row>
  </sheetData>
  <mergeCells count="25">
    <mergeCell ref="A1:B1"/>
    <mergeCell ref="A2:B2"/>
    <mergeCell ref="A3:B3"/>
    <mergeCell ref="C1:G1"/>
    <mergeCell ref="C2:G2"/>
    <mergeCell ref="C3:G3"/>
    <mergeCell ref="G18:H18"/>
    <mergeCell ref="B20:C20"/>
    <mergeCell ref="E20:F20"/>
    <mergeCell ref="A21:D21"/>
    <mergeCell ref="C4:F4"/>
    <mergeCell ref="E5:F5"/>
    <mergeCell ref="A22:D22"/>
    <mergeCell ref="A4:B4"/>
    <mergeCell ref="A5:B5"/>
    <mergeCell ref="C5:D5"/>
    <mergeCell ref="E21:F21"/>
    <mergeCell ref="A6:A7"/>
    <mergeCell ref="B6:B7"/>
    <mergeCell ref="B18:C18"/>
    <mergeCell ref="A23:D23"/>
    <mergeCell ref="A24:D24"/>
    <mergeCell ref="A25:D25"/>
    <mergeCell ref="A26:D26"/>
    <mergeCell ref="A27:D27"/>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COUNT_Button1_Click">
                <anchor moveWithCells="1" sizeWithCells="1">
                  <from>
                    <xdr:col>10</xdr:col>
                    <xdr:colOff>259080</xdr:colOff>
                    <xdr:row>2</xdr:row>
                    <xdr:rowOff>198120</xdr:rowOff>
                  </from>
                  <to>
                    <xdr:col>14</xdr:col>
                    <xdr:colOff>426720</xdr:colOff>
                    <xdr:row>4</xdr:row>
                    <xdr:rowOff>213360</xdr:rowOff>
                  </to>
                </anchor>
              </controlPr>
            </control>
          </mc:Choice>
        </mc:AlternateContent>
        <mc:AlternateContent xmlns:mc="http://schemas.openxmlformats.org/markup-compatibility/2006">
          <mc:Choice Requires="x14">
            <control shapeId="22530" r:id="rId5" name="Button 2">
              <controlPr defaultSize="0" print="0" autoFill="0" autoPict="0" macro="[0]!SCHEDULE86_Button2_Click">
                <anchor moveWithCells="1" sizeWithCells="1">
                  <from>
                    <xdr:col>10</xdr:col>
                    <xdr:colOff>236220</xdr:colOff>
                    <xdr:row>0</xdr:row>
                    <xdr:rowOff>198120</xdr:rowOff>
                  </from>
                  <to>
                    <xdr:col>14</xdr:col>
                    <xdr:colOff>434340</xdr:colOff>
                    <xdr:row>1</xdr:row>
                    <xdr:rowOff>213360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D9A3A-1A7F-471A-BC09-31B7B1CD4F5C}">
  <sheetPr codeName="Sheet12"/>
  <dimension ref="A1:H29"/>
  <sheetViews>
    <sheetView showGridLines="0" view="pageBreakPreview" zoomScale="73" zoomScaleNormal="100" zoomScaleSheetLayoutView="40" workbookViewId="0">
      <selection activeCell="K10" sqref="K10"/>
    </sheetView>
  </sheetViews>
  <sheetFormatPr defaultRowHeight="14.4"/>
  <cols>
    <col min="1" max="1" width="13.5546875" style="43" customWidth="1"/>
    <col min="2" max="2" width="13.44140625" style="43" customWidth="1"/>
    <col min="3" max="3" width="19.21875" style="43" bestFit="1" customWidth="1"/>
    <col min="4" max="4" width="25.6640625" style="43" bestFit="1" customWidth="1"/>
    <col min="5" max="5" width="29.5546875" style="43" bestFit="1" customWidth="1"/>
    <col min="6" max="6" width="17.88671875" style="43" customWidth="1"/>
    <col min="7" max="16384" width="8.88671875" style="43"/>
  </cols>
  <sheetData>
    <row r="1" spans="1:8" ht="42.6" customHeight="1">
      <c r="A1" s="140" t="s">
        <v>367</v>
      </c>
      <c r="B1" s="141"/>
      <c r="C1" s="159" t="s">
        <v>368</v>
      </c>
      <c r="D1" s="160"/>
      <c r="E1" s="160"/>
      <c r="F1" s="77"/>
    </row>
    <row r="2" spans="1:8" ht="18" customHeight="1">
      <c r="A2" s="140" t="s">
        <v>369</v>
      </c>
      <c r="B2" s="141"/>
      <c r="C2" s="149" t="s">
        <v>370</v>
      </c>
      <c r="D2" s="161"/>
      <c r="E2" s="161"/>
      <c r="F2" s="78"/>
    </row>
    <row r="3" spans="1:8" ht="18" customHeight="1">
      <c r="A3" s="140" t="s">
        <v>371</v>
      </c>
      <c r="B3" s="141"/>
      <c r="C3" s="149" t="s">
        <v>407</v>
      </c>
      <c r="D3" s="161"/>
      <c r="E3" s="161"/>
      <c r="F3" s="79"/>
    </row>
    <row r="4" spans="1:8" ht="23.4">
      <c r="A4" s="140" t="s">
        <v>373</v>
      </c>
      <c r="B4" s="141"/>
      <c r="C4" s="150" t="s">
        <v>406</v>
      </c>
      <c r="D4" s="151"/>
      <c r="E4" s="151"/>
      <c r="F4" s="85" t="s">
        <v>375</v>
      </c>
      <c r="G4" s="59" t="s">
        <v>408</v>
      </c>
      <c r="H4" s="86" t="str">
        <f>IF(WORK_PLACE2!$K$6=1,"T1",IF(WORK_PLACE2!$K$6=2,"T2","T3"))</f>
        <v>T2</v>
      </c>
    </row>
    <row r="5" spans="1:8" ht="24.6" customHeight="1">
      <c r="A5" s="153" t="s">
        <v>376</v>
      </c>
      <c r="B5" s="154"/>
      <c r="C5" s="155" t="s">
        <v>377</v>
      </c>
      <c r="D5" s="155"/>
      <c r="E5" s="87" t="s">
        <v>378</v>
      </c>
      <c r="F5" s="87" t="s">
        <v>379</v>
      </c>
      <c r="G5" s="59" t="s">
        <v>409</v>
      </c>
      <c r="H5" s="76">
        <f>WORK_PLACE2!$F$51</f>
        <v>1</v>
      </c>
    </row>
    <row r="6" spans="1:8" ht="15">
      <c r="A6" s="130" t="s">
        <v>380</v>
      </c>
      <c r="B6" s="130" t="s">
        <v>381</v>
      </c>
      <c r="C6" s="61" t="s">
        <v>418</v>
      </c>
      <c r="D6" s="61" t="s">
        <v>419</v>
      </c>
      <c r="E6" s="61" t="s">
        <v>420</v>
      </c>
      <c r="F6" s="61" t="s">
        <v>421</v>
      </c>
    </row>
    <row r="7" spans="1:8" ht="15">
      <c r="A7" s="129"/>
      <c r="B7" s="129"/>
      <c r="C7" s="117" t="s">
        <v>435</v>
      </c>
      <c r="D7" s="63" t="s">
        <v>383</v>
      </c>
      <c r="E7" s="63" t="s">
        <v>384</v>
      </c>
      <c r="F7" s="63" t="s">
        <v>385</v>
      </c>
    </row>
    <row r="8" spans="1:8" ht="57.6" customHeight="1">
      <c r="A8" s="68"/>
      <c r="B8" s="68">
        <v>1</v>
      </c>
      <c r="C8" s="65" t="s">
        <v>8</v>
      </c>
      <c r="D8" s="65" t="s">
        <v>10</v>
      </c>
      <c r="E8" s="65" t="s">
        <v>11</v>
      </c>
      <c r="F8" s="65" t="s">
        <v>13</v>
      </c>
    </row>
    <row r="9" spans="1:8" ht="30">
      <c r="A9" s="68"/>
      <c r="B9" s="68"/>
      <c r="C9" s="65" t="s">
        <v>9</v>
      </c>
      <c r="D9" s="65" t="s">
        <v>9</v>
      </c>
      <c r="E9" s="65" t="s">
        <v>12</v>
      </c>
      <c r="F9" s="65" t="s">
        <v>14</v>
      </c>
    </row>
    <row r="10" spans="1:8" ht="195">
      <c r="A10" s="68"/>
      <c r="B10" s="68">
        <v>2</v>
      </c>
      <c r="C10" s="65" t="s">
        <v>15</v>
      </c>
      <c r="D10" s="65" t="s">
        <v>17</v>
      </c>
      <c r="E10" s="65" t="s">
        <v>19</v>
      </c>
      <c r="F10" s="65" t="s">
        <v>21</v>
      </c>
    </row>
    <row r="11" spans="1:8" ht="15">
      <c r="A11" s="68"/>
      <c r="B11" s="68"/>
      <c r="C11" s="65" t="s">
        <v>16</v>
      </c>
      <c r="D11" s="65" t="s">
        <v>18</v>
      </c>
      <c r="E11" s="65" t="s">
        <v>20</v>
      </c>
      <c r="F11" s="65" t="s">
        <v>20</v>
      </c>
    </row>
    <row r="12" spans="1:8" ht="105" customHeight="1">
      <c r="A12" s="68"/>
      <c r="B12" s="68">
        <v>3</v>
      </c>
      <c r="C12" s="65" t="s">
        <v>22</v>
      </c>
      <c r="D12" s="65" t="s">
        <v>23</v>
      </c>
      <c r="E12" s="65" t="s">
        <v>24</v>
      </c>
      <c r="F12" s="65" t="s">
        <v>25</v>
      </c>
    </row>
    <row r="13" spans="1:8" ht="15">
      <c r="A13" s="68"/>
      <c r="B13" s="68"/>
      <c r="C13" s="65" t="s">
        <v>20</v>
      </c>
      <c r="D13" s="65" t="s">
        <v>20</v>
      </c>
      <c r="E13" s="65" t="s">
        <v>20</v>
      </c>
      <c r="F13" s="65" t="s">
        <v>20</v>
      </c>
    </row>
    <row r="14" spans="1:8" ht="45">
      <c r="A14" s="68"/>
      <c r="B14" s="68">
        <v>4</v>
      </c>
      <c r="C14" s="65" t="s">
        <v>26</v>
      </c>
      <c r="D14" s="65" t="s">
        <v>27</v>
      </c>
      <c r="E14" s="65" t="s">
        <v>28</v>
      </c>
      <c r="F14" s="65" t="s">
        <v>29</v>
      </c>
    </row>
    <row r="15" spans="1:8" ht="15">
      <c r="A15" s="68"/>
      <c r="B15" s="68"/>
      <c r="C15" s="65" t="s">
        <v>20</v>
      </c>
      <c r="D15" s="65" t="s">
        <v>20</v>
      </c>
      <c r="E15" s="65" t="s">
        <v>20</v>
      </c>
      <c r="F15" s="65" t="s">
        <v>20</v>
      </c>
    </row>
    <row r="16" spans="1:8" ht="90">
      <c r="A16" s="68"/>
      <c r="B16" s="68">
        <v>5</v>
      </c>
      <c r="C16" s="65" t="s">
        <v>30</v>
      </c>
      <c r="D16" s="65" t="s">
        <v>30</v>
      </c>
      <c r="E16" s="65" t="s">
        <v>31</v>
      </c>
      <c r="F16" s="65" t="s">
        <v>31</v>
      </c>
    </row>
    <row r="17" spans="1:6" ht="15">
      <c r="A17" s="68"/>
      <c r="B17" s="68"/>
      <c r="C17" s="65" t="s">
        <v>20</v>
      </c>
      <c r="D17" s="65" t="s">
        <v>20</v>
      </c>
      <c r="E17" s="65" t="s">
        <v>20</v>
      </c>
      <c r="F17" s="65" t="s">
        <v>20</v>
      </c>
    </row>
    <row r="18" spans="1:6" ht="30">
      <c r="A18" s="68"/>
      <c r="B18" s="68">
        <v>6</v>
      </c>
      <c r="C18" s="65" t="s">
        <v>31</v>
      </c>
      <c r="D18" s="65" t="s">
        <v>32</v>
      </c>
      <c r="E18" s="65" t="s">
        <v>32</v>
      </c>
      <c r="F18" s="65" t="s">
        <v>33</v>
      </c>
    </row>
    <row r="19" spans="1:6" ht="15">
      <c r="A19" s="68"/>
      <c r="B19" s="68"/>
      <c r="C19" s="65" t="s">
        <v>20</v>
      </c>
      <c r="D19" s="65" t="s">
        <v>20</v>
      </c>
      <c r="E19" s="65" t="s">
        <v>20</v>
      </c>
      <c r="F19" s="65" t="s">
        <v>20</v>
      </c>
    </row>
    <row r="20" spans="1:6" ht="19.8" customHeight="1">
      <c r="A20" s="69" t="s">
        <v>390</v>
      </c>
      <c r="B20" s="132" t="s">
        <v>391</v>
      </c>
      <c r="C20" s="133"/>
      <c r="D20" s="65" t="s">
        <v>392</v>
      </c>
      <c r="E20" s="65" t="s">
        <v>393</v>
      </c>
      <c r="F20" s="65" t="s">
        <v>394</v>
      </c>
    </row>
    <row r="21" spans="1:6" ht="15">
      <c r="A21" s="70"/>
      <c r="B21" s="71"/>
      <c r="C21" s="71"/>
      <c r="D21" s="72"/>
      <c r="E21" s="72"/>
      <c r="F21" s="72"/>
    </row>
    <row r="22" spans="1:6" ht="15.6">
      <c r="A22" s="74"/>
      <c r="B22" s="137" t="s">
        <v>396</v>
      </c>
      <c r="C22" s="138"/>
      <c r="D22" s="74"/>
      <c r="E22" s="137" t="s">
        <v>397</v>
      </c>
      <c r="F22" s="138"/>
    </row>
    <row r="23" spans="1:6" ht="15.6">
      <c r="A23" s="139" t="s">
        <v>399</v>
      </c>
      <c r="B23" s="139"/>
      <c r="C23" s="139"/>
      <c r="D23" s="139"/>
      <c r="E23" s="162" t="s">
        <v>398</v>
      </c>
      <c r="F23" s="162"/>
    </row>
    <row r="24" spans="1:6" ht="15.6">
      <c r="A24" s="139" t="s">
        <v>400</v>
      </c>
      <c r="B24" s="139"/>
      <c r="C24" s="139"/>
      <c r="D24" s="139"/>
      <c r="E24" s="74"/>
      <c r="F24" s="74"/>
    </row>
    <row r="25" spans="1:6" ht="15.6">
      <c r="A25" s="139" t="s">
        <v>401</v>
      </c>
      <c r="B25" s="139"/>
      <c r="C25" s="139"/>
      <c r="D25" s="139"/>
      <c r="E25" s="74"/>
      <c r="F25" s="74"/>
    </row>
    <row r="26" spans="1:6" ht="15.6">
      <c r="A26" s="139" t="s">
        <v>402</v>
      </c>
      <c r="B26" s="139"/>
      <c r="C26" s="139"/>
      <c r="D26" s="139"/>
      <c r="E26" s="74"/>
      <c r="F26" s="74"/>
    </row>
    <row r="27" spans="1:6" ht="15.6">
      <c r="A27" s="139" t="s">
        <v>403</v>
      </c>
      <c r="B27" s="139"/>
      <c r="C27" s="139"/>
      <c r="D27" s="139"/>
      <c r="E27" s="74"/>
      <c r="F27" s="74"/>
    </row>
    <row r="28" spans="1:6" ht="15.6">
      <c r="A28" s="139" t="s">
        <v>404</v>
      </c>
      <c r="B28" s="139"/>
      <c r="C28" s="139"/>
      <c r="D28" s="139"/>
      <c r="E28" s="74"/>
      <c r="F28" s="74"/>
    </row>
    <row r="29" spans="1:6" ht="15.6">
      <c r="A29" s="139" t="s">
        <v>405</v>
      </c>
      <c r="B29" s="139"/>
      <c r="C29" s="139"/>
      <c r="D29" s="139"/>
      <c r="E29" s="74"/>
      <c r="F29" s="74"/>
    </row>
  </sheetData>
  <sheetProtection algorithmName="SHA-512" hashValue="owDqWI8YNN9TuIJKqnupOsZS6BMgXNWKWHTJamg5Uiu9ftFhANH07o+XENPFRzpjslVu/qxyJ6OmUfag9BvL5A==" saltValue="CKXOLYb9fSlyXnkdup0cBg==" spinCount="100000" sheet="1" objects="1" scenarios="1"/>
  <mergeCells count="23">
    <mergeCell ref="A29:D29"/>
    <mergeCell ref="C1:E1"/>
    <mergeCell ref="C2:E2"/>
    <mergeCell ref="C3:E3"/>
    <mergeCell ref="C4:E4"/>
    <mergeCell ref="A6:A7"/>
    <mergeCell ref="B6:B7"/>
    <mergeCell ref="B20:C20"/>
    <mergeCell ref="B22:C22"/>
    <mergeCell ref="E22:F22"/>
    <mergeCell ref="A23:D23"/>
    <mergeCell ref="A24:D24"/>
    <mergeCell ref="A4:B4"/>
    <mergeCell ref="A5:B5"/>
    <mergeCell ref="A27:D27"/>
    <mergeCell ref="A28:D28"/>
    <mergeCell ref="C5:D5"/>
    <mergeCell ref="A1:B1"/>
    <mergeCell ref="E23:F23"/>
    <mergeCell ref="A25:D25"/>
    <mergeCell ref="A26:D26"/>
    <mergeCell ref="A2:B2"/>
    <mergeCell ref="A3:B3"/>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COUNT_Button1_Click">
                <anchor moveWithCells="1" sizeWithCells="1">
                  <from>
                    <xdr:col>8</xdr:col>
                    <xdr:colOff>274320</xdr:colOff>
                    <xdr:row>2</xdr:row>
                    <xdr:rowOff>182880</xdr:rowOff>
                  </from>
                  <to>
                    <xdr:col>12</xdr:col>
                    <xdr:colOff>441960</xdr:colOff>
                    <xdr:row>4</xdr:row>
                    <xdr:rowOff>198120</xdr:rowOff>
                  </to>
                </anchor>
              </controlPr>
            </control>
          </mc:Choice>
        </mc:AlternateContent>
        <mc:AlternateContent xmlns:mc="http://schemas.openxmlformats.org/markup-compatibility/2006">
          <mc:Choice Requires="x14">
            <control shapeId="21506" r:id="rId5" name="Button 2">
              <controlPr defaultSize="0" print="0" autoFill="0" autoPict="0" macro="[0]!SCHEDULE86_Button2_Click">
                <anchor moveWithCells="1" sizeWithCells="1">
                  <from>
                    <xdr:col>8</xdr:col>
                    <xdr:colOff>251460</xdr:colOff>
                    <xdr:row>0</xdr:row>
                    <xdr:rowOff>190500</xdr:rowOff>
                  </from>
                  <to>
                    <xdr:col>12</xdr:col>
                    <xdr:colOff>449580</xdr:colOff>
                    <xdr:row>1</xdr:row>
                    <xdr:rowOff>198120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C1FAE-7EBB-4075-B9BD-1994BAEE35EA}">
  <sheetPr codeName="Sheet16"/>
  <dimension ref="A1:H27"/>
  <sheetViews>
    <sheetView showGridLines="0" view="pageBreakPreview" zoomScaleNormal="100" zoomScaleSheetLayoutView="100" workbookViewId="0">
      <selection activeCell="H5" sqref="H5"/>
    </sheetView>
  </sheetViews>
  <sheetFormatPr defaultRowHeight="14.4"/>
  <cols>
    <col min="1" max="1" width="13.5546875" style="43" customWidth="1"/>
    <col min="2" max="2" width="13.44140625" style="43" customWidth="1"/>
    <col min="3" max="3" width="19.21875" style="43" bestFit="1" customWidth="1"/>
    <col min="4" max="4" width="25.6640625" style="43" bestFit="1" customWidth="1"/>
    <col min="5" max="5" width="29.5546875" style="43" bestFit="1" customWidth="1"/>
    <col min="6" max="6" width="17.88671875" style="43" customWidth="1"/>
    <col min="7" max="7" width="8.88671875" style="43"/>
    <col min="8" max="8" width="4.109375" style="43" customWidth="1"/>
    <col min="9" max="16384" width="8.88671875" style="43"/>
  </cols>
  <sheetData>
    <row r="1" spans="1:8" ht="42.6" customHeight="1">
      <c r="A1" s="140" t="s">
        <v>367</v>
      </c>
      <c r="B1" s="141"/>
      <c r="C1" s="159" t="s">
        <v>368</v>
      </c>
      <c r="D1" s="160"/>
      <c r="E1" s="160"/>
      <c r="F1" s="77"/>
    </row>
    <row r="2" spans="1:8" ht="18" customHeight="1">
      <c r="A2" s="140" t="s">
        <v>369</v>
      </c>
      <c r="B2" s="141"/>
      <c r="C2" s="149" t="s">
        <v>370</v>
      </c>
      <c r="D2" s="161"/>
      <c r="E2" s="161"/>
      <c r="F2" s="78"/>
    </row>
    <row r="3" spans="1:8" ht="18" customHeight="1">
      <c r="A3" s="140" t="s">
        <v>371</v>
      </c>
      <c r="B3" s="141"/>
      <c r="C3" s="149" t="s">
        <v>407</v>
      </c>
      <c r="D3" s="161"/>
      <c r="E3" s="161"/>
      <c r="F3" s="79"/>
    </row>
    <row r="4" spans="1:8" ht="23.4">
      <c r="A4" s="140" t="s">
        <v>373</v>
      </c>
      <c r="B4" s="141"/>
      <c r="C4" s="150" t="s">
        <v>406</v>
      </c>
      <c r="D4" s="151"/>
      <c r="E4" s="151"/>
      <c r="F4" s="85" t="s">
        <v>375</v>
      </c>
      <c r="G4" s="59" t="s">
        <v>408</v>
      </c>
      <c r="H4" s="86" t="str">
        <f>IF(WORK_PLACE2!$K$6=1,"T1",IF(WORK_PLACE2!$K$6=2,"T2","T3"))</f>
        <v>T2</v>
      </c>
    </row>
    <row r="5" spans="1:8" ht="24.6" customHeight="1">
      <c r="A5" s="153" t="s">
        <v>376</v>
      </c>
      <c r="B5" s="154"/>
      <c r="C5" s="155" t="s">
        <v>377</v>
      </c>
      <c r="D5" s="155"/>
      <c r="E5" s="87" t="s">
        <v>378</v>
      </c>
      <c r="F5" s="87" t="s">
        <v>379</v>
      </c>
      <c r="G5" s="59" t="s">
        <v>409</v>
      </c>
      <c r="H5" s="76">
        <f>WORK_PLACE2!$F$51</f>
        <v>1</v>
      </c>
    </row>
    <row r="6" spans="1:8" ht="15">
      <c r="A6" s="130" t="s">
        <v>380</v>
      </c>
      <c r="B6" s="130" t="s">
        <v>381</v>
      </c>
      <c r="C6" s="61" t="s">
        <v>418</v>
      </c>
      <c r="D6" s="61" t="s">
        <v>419</v>
      </c>
      <c r="E6" s="61" t="s">
        <v>420</v>
      </c>
      <c r="F6" s="61" t="s">
        <v>421</v>
      </c>
    </row>
    <row r="7" spans="1:8" ht="15">
      <c r="A7" s="129"/>
      <c r="B7" s="129"/>
      <c r="C7" s="63" t="s">
        <v>382</v>
      </c>
      <c r="D7" s="63" t="s">
        <v>383</v>
      </c>
      <c r="E7" s="63" t="s">
        <v>384</v>
      </c>
      <c r="F7" s="63" t="s">
        <v>385</v>
      </c>
    </row>
    <row r="8" spans="1:8" ht="45" customHeight="1">
      <c r="A8" s="68"/>
      <c r="B8" s="68">
        <v>1</v>
      </c>
      <c r="C8" s="65" t="s">
        <v>8</v>
      </c>
      <c r="D8" s="65" t="s">
        <v>10</v>
      </c>
      <c r="E8" s="65" t="s">
        <v>11</v>
      </c>
      <c r="F8" s="65" t="s">
        <v>13</v>
      </c>
    </row>
    <row r="9" spans="1:8" ht="30">
      <c r="A9" s="68"/>
      <c r="B9" s="68"/>
      <c r="C9" s="65" t="s">
        <v>9</v>
      </c>
      <c r="D9" s="65" t="s">
        <v>9</v>
      </c>
      <c r="E9" s="65" t="s">
        <v>12</v>
      </c>
      <c r="F9" s="65" t="s">
        <v>14</v>
      </c>
    </row>
    <row r="10" spans="1:8" ht="195">
      <c r="A10" s="68"/>
      <c r="B10" s="68">
        <v>2</v>
      </c>
      <c r="C10" s="65" t="s">
        <v>15</v>
      </c>
      <c r="D10" s="65" t="s">
        <v>17</v>
      </c>
      <c r="E10" s="65" t="s">
        <v>19</v>
      </c>
      <c r="F10" s="65" t="s">
        <v>21</v>
      </c>
    </row>
    <row r="11" spans="1:8" ht="15">
      <c r="A11" s="68"/>
      <c r="B11" s="68"/>
      <c r="C11" s="65" t="s">
        <v>16</v>
      </c>
      <c r="D11" s="65" t="s">
        <v>18</v>
      </c>
      <c r="E11" s="65" t="s">
        <v>20</v>
      </c>
      <c r="F11" s="65" t="s">
        <v>20</v>
      </c>
    </row>
    <row r="12" spans="1:8" ht="105" customHeight="1">
      <c r="A12" s="68"/>
      <c r="B12" s="68">
        <v>3</v>
      </c>
      <c r="C12" s="65" t="s">
        <v>22</v>
      </c>
      <c r="D12" s="65" t="s">
        <v>23</v>
      </c>
      <c r="E12" s="65" t="s">
        <v>24</v>
      </c>
      <c r="F12" s="65" t="s">
        <v>25</v>
      </c>
    </row>
    <row r="13" spans="1:8" ht="15">
      <c r="A13" s="68"/>
      <c r="B13" s="68"/>
      <c r="C13" s="65" t="s">
        <v>20</v>
      </c>
      <c r="D13" s="65" t="s">
        <v>20</v>
      </c>
      <c r="E13" s="65" t="s">
        <v>20</v>
      </c>
      <c r="F13" s="65" t="s">
        <v>20</v>
      </c>
    </row>
    <row r="14" spans="1:8" ht="45">
      <c r="A14" s="68"/>
      <c r="B14" s="68">
        <v>4</v>
      </c>
      <c r="C14" s="65" t="s">
        <v>26</v>
      </c>
      <c r="D14" s="65" t="s">
        <v>27</v>
      </c>
      <c r="E14" s="65" t="s">
        <v>28</v>
      </c>
      <c r="F14" s="65" t="s">
        <v>29</v>
      </c>
    </row>
    <row r="15" spans="1:8" ht="15">
      <c r="A15" s="68"/>
      <c r="B15" s="68"/>
      <c r="C15" s="65" t="s">
        <v>20</v>
      </c>
      <c r="D15" s="65" t="s">
        <v>20</v>
      </c>
      <c r="E15" s="65" t="s">
        <v>20</v>
      </c>
      <c r="F15" s="65" t="s">
        <v>20</v>
      </c>
    </row>
    <row r="16" spans="1:8" ht="90">
      <c r="A16" s="68"/>
      <c r="B16" s="68">
        <v>5</v>
      </c>
      <c r="C16" s="65" t="s">
        <v>30</v>
      </c>
      <c r="D16" s="65" t="s">
        <v>30</v>
      </c>
      <c r="E16" s="65" t="s">
        <v>31</v>
      </c>
      <c r="F16" s="65" t="s">
        <v>31</v>
      </c>
    </row>
    <row r="17" spans="1:6" ht="15">
      <c r="A17" s="68"/>
      <c r="B17" s="68"/>
      <c r="C17" s="65" t="s">
        <v>20</v>
      </c>
      <c r="D17" s="65" t="s">
        <v>20</v>
      </c>
      <c r="E17" s="65" t="s">
        <v>20</v>
      </c>
      <c r="F17" s="65" t="s">
        <v>20</v>
      </c>
    </row>
    <row r="18" spans="1:6" ht="19.8" customHeight="1">
      <c r="A18" s="69" t="s">
        <v>390</v>
      </c>
      <c r="B18" s="132" t="s">
        <v>391</v>
      </c>
      <c r="C18" s="133"/>
      <c r="D18" s="65" t="s">
        <v>392</v>
      </c>
      <c r="E18" s="65" t="s">
        <v>393</v>
      </c>
      <c r="F18" s="65" t="s">
        <v>394</v>
      </c>
    </row>
    <row r="19" spans="1:6" ht="15">
      <c r="A19" s="70"/>
      <c r="B19" s="71"/>
      <c r="C19" s="71"/>
      <c r="D19" s="72"/>
      <c r="E19" s="72"/>
      <c r="F19" s="72"/>
    </row>
    <row r="20" spans="1:6" ht="15.6">
      <c r="A20" s="74"/>
      <c r="B20" s="137" t="s">
        <v>396</v>
      </c>
      <c r="C20" s="138"/>
      <c r="D20" s="74"/>
      <c r="E20" s="137" t="s">
        <v>397</v>
      </c>
      <c r="F20" s="138"/>
    </row>
    <row r="21" spans="1:6" ht="15.6">
      <c r="A21" s="139" t="s">
        <v>399</v>
      </c>
      <c r="B21" s="139"/>
      <c r="C21" s="139"/>
      <c r="D21" s="139"/>
      <c r="E21" s="162" t="s">
        <v>398</v>
      </c>
      <c r="F21" s="162"/>
    </row>
    <row r="22" spans="1:6" ht="15.6">
      <c r="A22" s="139" t="s">
        <v>400</v>
      </c>
      <c r="B22" s="139"/>
      <c r="C22" s="139"/>
      <c r="D22" s="139"/>
      <c r="E22" s="74"/>
      <c r="F22" s="74"/>
    </row>
    <row r="23" spans="1:6" ht="15.6">
      <c r="A23" s="139" t="s">
        <v>401</v>
      </c>
      <c r="B23" s="139"/>
      <c r="C23" s="139"/>
      <c r="D23" s="139"/>
      <c r="E23" s="74"/>
      <c r="F23" s="74"/>
    </row>
    <row r="24" spans="1:6" ht="15.6">
      <c r="A24" s="139" t="s">
        <v>402</v>
      </c>
      <c r="B24" s="139"/>
      <c r="C24" s="139"/>
      <c r="D24" s="139"/>
      <c r="E24" s="74"/>
      <c r="F24" s="74"/>
    </row>
    <row r="25" spans="1:6" ht="15.6">
      <c r="A25" s="139" t="s">
        <v>403</v>
      </c>
      <c r="B25" s="139"/>
      <c r="C25" s="139"/>
      <c r="D25" s="139"/>
      <c r="E25" s="74"/>
      <c r="F25" s="74"/>
    </row>
    <row r="26" spans="1:6" ht="15.6">
      <c r="A26" s="139" t="s">
        <v>404</v>
      </c>
      <c r="B26" s="139"/>
      <c r="C26" s="139"/>
      <c r="D26" s="139"/>
      <c r="E26" s="74"/>
      <c r="F26" s="74"/>
    </row>
    <row r="27" spans="1:6" ht="15.6">
      <c r="A27" s="139" t="s">
        <v>405</v>
      </c>
      <c r="B27" s="139"/>
      <c r="C27" s="139"/>
      <c r="D27" s="139"/>
      <c r="E27" s="74"/>
      <c r="F27" s="74"/>
    </row>
  </sheetData>
  <sheetProtection algorithmName="SHA-512" hashValue="4atz0KWqj/nP83wPEVtSF+ppvtqTeXPYjoDyiuDHvqTys6RVgs5FOAHQowVIfh1zox7IkGT8lRo6b/ZJfKv97g==" saltValue="ZGsnbbnHOrHXicFwW3xNUQ==" spinCount="100000" sheet="1" objects="1" scenarios="1"/>
  <mergeCells count="23">
    <mergeCell ref="A1:B1"/>
    <mergeCell ref="C1:E1"/>
    <mergeCell ref="A2:B2"/>
    <mergeCell ref="C2:E2"/>
    <mergeCell ref="A3:B3"/>
    <mergeCell ref="C3:E3"/>
    <mergeCell ref="A4:B4"/>
    <mergeCell ref="C4:E4"/>
    <mergeCell ref="A5:B5"/>
    <mergeCell ref="C5:D5"/>
    <mergeCell ref="A6:A7"/>
    <mergeCell ref="B6:B7"/>
    <mergeCell ref="B18:C18"/>
    <mergeCell ref="B20:C20"/>
    <mergeCell ref="E20:F20"/>
    <mergeCell ref="A21:D21"/>
    <mergeCell ref="A22:D22"/>
    <mergeCell ref="A24:D24"/>
    <mergeCell ref="A25:D25"/>
    <mergeCell ref="A26:D26"/>
    <mergeCell ref="A27:D27"/>
    <mergeCell ref="E21:F21"/>
    <mergeCell ref="A23:D23"/>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COUNT_Button1_Click">
                <anchor moveWithCells="1" sizeWithCells="1">
                  <from>
                    <xdr:col>8</xdr:col>
                    <xdr:colOff>434340</xdr:colOff>
                    <xdr:row>2</xdr:row>
                    <xdr:rowOff>160020</xdr:rowOff>
                  </from>
                  <to>
                    <xdr:col>12</xdr:col>
                    <xdr:colOff>601980</xdr:colOff>
                    <xdr:row>4</xdr:row>
                    <xdr:rowOff>175260</xdr:rowOff>
                  </to>
                </anchor>
              </controlPr>
            </control>
          </mc:Choice>
        </mc:AlternateContent>
        <mc:AlternateContent xmlns:mc="http://schemas.openxmlformats.org/markup-compatibility/2006">
          <mc:Choice Requires="x14">
            <control shapeId="27650" r:id="rId5" name="Button 2">
              <controlPr defaultSize="0" print="0" autoFill="0" autoPict="0" macro="[0]!SCHEDULE86_Button2_Click">
                <anchor moveWithCells="1" sizeWithCells="1">
                  <from>
                    <xdr:col>8</xdr:col>
                    <xdr:colOff>411480</xdr:colOff>
                    <xdr:row>0</xdr:row>
                    <xdr:rowOff>160020</xdr:rowOff>
                  </from>
                  <to>
                    <xdr:col>13</xdr:col>
                    <xdr:colOff>0</xdr:colOff>
                    <xdr:row>1</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28F5D-C881-4B8A-944E-BD9253D3FC25}">
  <sheetPr codeName="Sheet2"/>
  <dimension ref="A1:P51"/>
  <sheetViews>
    <sheetView showGridLines="0" zoomScaleNormal="100" workbookViewId="0">
      <selection activeCell="D45" sqref="D45"/>
    </sheetView>
  </sheetViews>
  <sheetFormatPr defaultRowHeight="14.4"/>
  <cols>
    <col min="1" max="1" width="18.109375" style="98" customWidth="1"/>
    <col min="2" max="2" width="53" style="98" bestFit="1" customWidth="1"/>
    <col min="3" max="3" width="16.88671875" style="98" bestFit="1" customWidth="1"/>
    <col min="4" max="4" width="15.6640625" style="98" bestFit="1" customWidth="1"/>
    <col min="5" max="8" width="8.88671875" style="98"/>
    <col min="9" max="9" width="20.88671875" style="98" bestFit="1" customWidth="1"/>
    <col min="10" max="10" width="8.88671875" style="98"/>
    <col min="11" max="11" width="11.44140625" style="98" customWidth="1"/>
    <col min="12" max="12" width="8.88671875" style="98"/>
    <col min="13" max="13" width="9.6640625" style="98" customWidth="1"/>
    <col min="14" max="14" width="6.33203125" style="98" customWidth="1"/>
    <col min="15" max="15" width="11.5546875" style="98" customWidth="1"/>
    <col min="16" max="16384" width="8.88671875" style="98"/>
  </cols>
  <sheetData>
    <row r="1" spans="1:16" s="99" customFormat="1" ht="126" customHeight="1">
      <c r="A1" s="97"/>
      <c r="B1" s="97"/>
      <c r="C1" s="97"/>
      <c r="H1" s="98"/>
      <c r="I1" s="98"/>
      <c r="J1" s="164"/>
      <c r="K1" s="164"/>
      <c r="M1" s="99" t="s">
        <v>3</v>
      </c>
    </row>
    <row r="2" spans="1:16">
      <c r="A2" s="46" t="s">
        <v>364</v>
      </c>
      <c r="B2" s="116" t="s">
        <v>365</v>
      </c>
      <c r="C2" s="98" t="s">
        <v>356</v>
      </c>
      <c r="D2" s="98" t="s">
        <v>366</v>
      </c>
      <c r="M2" s="163"/>
      <c r="N2" s="163"/>
    </row>
    <row r="3" spans="1:16" ht="28.8">
      <c r="A3" s="96" t="str" cm="1">
        <f t="array" ref="A3">IF(Table1[[#This Row],[TOPIC LIST]]="","",INT((ROW()-3)/WORK_PLACE!$I$2+1) &amp; INDEX({"I","II","III","IV","V","VI","VII","VIII","IX","X"}, MOD(ROW()-3, WORK_PLACE!$I$2)+1))</f>
        <v>1I</v>
      </c>
      <c r="B3" s="47" t="s">
        <v>8</v>
      </c>
      <c r="C3" s="95" t="str">
        <f>IFERROR(IF(D3=0,IF($K$6=1,VLOOKUP(B3,SOURCE!$D$1:$H$1359,3,0),IF($K$6=2,VLOOKUP(B3,SOURCE!$D$1:$H$1359,4,0),VLOOKUP(B3,SOURCE!$D$1:$H$1359,5,0))),IF(D3=1,VLOOKUP(B3,SOURCE!$D$1:$H$1359,3,0),IF(D3=2,VLOOKUP(B3,SOURCE!$D$1:$H$1359,4,0),VLOOKUP(B3,SOURCE!$D$1:$H$1359,5,0))))," ")</f>
        <v>Batch Coordinator</v>
      </c>
      <c r="D3" s="98">
        <v>0</v>
      </c>
      <c r="F3" s="55">
        <f>IF(Table1[[#This Row],[STAFF CODE]]=0,0,IF(Table1[[#This Row],[STAFF CODE]]=$K$6,0,1))</f>
        <v>0</v>
      </c>
      <c r="G3" s="50"/>
      <c r="M3" s="163"/>
      <c r="N3" s="163"/>
      <c r="P3" s="50"/>
    </row>
    <row r="4" spans="1:16">
      <c r="A4" s="96" t="str" cm="1">
        <f t="array" ref="A4">IF(Table1[[#This Row],[TOPIC LIST]]="","",INT((ROW()-3)/WORK_PLACE!$I$2+1) &amp; INDEX({"I","II","III","IV","V","VI","VII","VIII","IX","X"}, MOD(ROW()-3, WORK_PLACE!$I$2)+1))</f>
        <v>1II</v>
      </c>
      <c r="B4" s="47" t="s">
        <v>10</v>
      </c>
      <c r="C4" s="95" t="str">
        <f>IFERROR(IF(D4=0,IF($K$6=1,VLOOKUP(B4,SOURCE!$D$1:$H$1359,3,0),IF($K$6=2,VLOOKUP(B4,SOURCE!$D$1:$H$1359,4,0),VLOOKUP(B4,SOURCE!$D$1:$H$1359,5,0))),IF(D4=1,VLOOKUP(B4,SOURCE!$D$1:$H$1359,3,0),IF(D4=2,VLOOKUP(B4,SOURCE!$D$1:$H$1359,4,0),VLOOKUP(B4,SOURCE!$D$1:$H$1359,5,0))))," ")</f>
        <v>Batch Coordinator</v>
      </c>
      <c r="D4" s="98">
        <v>0</v>
      </c>
      <c r="F4" s="55">
        <f>IF(Table1[[#This Row],[STAFF CODE]]=0,0,IF(Table1[[#This Row],[STAFF CODE]]=$K$6,0,1))</f>
        <v>0</v>
      </c>
      <c r="M4" s="163"/>
      <c r="N4" s="163"/>
      <c r="P4" s="50"/>
    </row>
    <row r="5" spans="1:16" ht="28.8">
      <c r="A5" s="96" t="str" cm="1">
        <f t="array" ref="A5">IF(Table1[[#This Row],[TOPIC LIST]]="","",INT((ROW()-3)/WORK_PLACE!$I$2+1) &amp; INDEX({"I","II","III","IV","V","VI","VII","VIII","IX","X"}, MOD(ROW()-3, WORK_PLACE!$I$2)+1))</f>
        <v>1III</v>
      </c>
      <c r="B5" s="47" t="s">
        <v>11</v>
      </c>
      <c r="C5" s="95" t="str">
        <f>IFERROR(IF(D5=0,IF($K$6=1,VLOOKUP(B5,SOURCE!$D$1:$H$1359,3,0),IF($K$6=2,VLOOKUP(B5,SOURCE!$D$1:$H$1359,4,0),VLOOKUP(B5,SOURCE!$D$1:$H$1359,5,0))),IF(D5=1,VLOOKUP(B5,SOURCE!$D$1:$H$1359,3,0),IF(D5=2,VLOOKUP(B5,SOURCE!$D$1:$H$1359,4,0),VLOOKUP(B5,SOURCE!$D$1:$H$1359,5,0))))," ")</f>
        <v>Principal / PO / APO</v>
      </c>
      <c r="D5" s="98">
        <v>0</v>
      </c>
      <c r="F5" s="55">
        <f>IF(Table1[[#This Row],[STAFF CODE]]=0,0,IF(Table1[[#This Row],[STAFF CODE]]=$K$6,0,1))</f>
        <v>0</v>
      </c>
      <c r="M5" s="163"/>
      <c r="N5" s="163"/>
      <c r="O5" s="50"/>
      <c r="P5" s="50"/>
    </row>
    <row r="6" spans="1:16" ht="24" customHeight="1">
      <c r="A6" s="96" t="str" cm="1">
        <f t="array" ref="A6">IF(Table1[[#This Row],[TOPIC LIST]]="","",INT((ROW()-3)/WORK_PLACE!$I$2+1) &amp; INDEX({"I","II","III","IV","V","VI","VII","VIII","IX","X"}, MOD(ROW()-3, WORK_PLACE!$I$2)+1))</f>
        <v>1IV</v>
      </c>
      <c r="B6" s="47" t="s">
        <v>13</v>
      </c>
      <c r="C6" s="95" t="str">
        <f>IFERROR(IF(D6=0,IF($K$6=1,VLOOKUP(B6,SOURCE!$D$1:$H$1359,3,0),IF($K$6=2,VLOOKUP(B6,SOURCE!$D$1:$H$1359,4,0),VLOOKUP(B6,SOURCE!$D$1:$H$1359,5,0))),IF(D6=1,VLOOKUP(B6,SOURCE!$D$1:$H$1359,3,0),IF(D6=2,VLOOKUP(B6,SOURCE!$D$1:$H$1359,4,0),VLOOKUP(B6,SOURCE!$D$1:$H$1359,5,0))))," ")</f>
        <v>Safety Wing</v>
      </c>
      <c r="D6" s="98">
        <v>0</v>
      </c>
      <c r="F6" s="55">
        <f>IF(Table1[[#This Row],[STAFF CODE]]=0,0,IF(Table1[[#This Row],[STAFF CODE]]=$K$6,0,1))</f>
        <v>0</v>
      </c>
      <c r="K6" s="52">
        <v>2</v>
      </c>
      <c r="M6" s="163"/>
      <c r="N6" s="163"/>
      <c r="O6" s="53"/>
      <c r="P6" s="50"/>
    </row>
    <row r="7" spans="1:16" ht="43.2">
      <c r="A7" s="96" t="str" cm="1">
        <f t="array" ref="A7">IF(Table1[[#This Row],[TOPIC LIST]]="","",INT((ROW()-3)/WORK_PLACE!$I$2+1) &amp; INDEX({"I","II","III","IV","V","VI","VII","VIII","IX","X"}, MOD(ROW()-3, WORK_PLACE!$I$2)+1))</f>
        <v>1V</v>
      </c>
      <c r="B7" s="47" t="s">
        <v>15</v>
      </c>
      <c r="C7" s="95" t="str">
        <f>IFERROR(IF(D7=0,IF($K$6=1,VLOOKUP(B7,SOURCE!$D$1:$H$1359,3,0),IF($K$6=2,VLOOKUP(B7,SOURCE!$D$1:$H$1359,4,0),VLOOKUP(B7,SOURCE!$D$1:$H$1359,5,0))),IF(D7=1,VLOOKUP(B7,SOURCE!$D$1:$H$1359,3,0),IF(D7=2,VLOOKUP(B7,SOURCE!$D$1:$H$1359,4,0),VLOOKUP(B7,SOURCE!$D$1:$H$1359,5,0))))," ")</f>
        <v>E&amp;M Wing</v>
      </c>
      <c r="D7" s="98">
        <v>0</v>
      </c>
      <c r="F7" s="55">
        <f>IF(Table1[[#This Row],[STAFF CODE]]=0,0,IF(Table1[[#This Row],[STAFF CODE]]=$K$6,0,1))</f>
        <v>0</v>
      </c>
      <c r="M7" s="54"/>
      <c r="N7" s="54"/>
      <c r="O7" s="53"/>
    </row>
    <row r="8" spans="1:16" ht="28.8">
      <c r="A8" s="96" t="str" cm="1">
        <f t="array" ref="A8">IF(Table1[[#This Row],[TOPIC LIST]]="","",INT((ROW()-3)/WORK_PLACE!$I$2+1) &amp; INDEX({"I","II","III","IV","V","VI","VII","VIII","IX","X"}, MOD(ROW()-3, WORK_PLACE!$I$2)+1))</f>
        <v>1VI</v>
      </c>
      <c r="B8" s="47" t="s">
        <v>17</v>
      </c>
      <c r="C8" s="95" t="str">
        <f>IFERROR(IF(D8=0,IF($K$6=1,VLOOKUP(B8,SOURCE!$D$1:$H$1359,3,0),IF($K$6=2,VLOOKUP(B8,SOURCE!$D$1:$H$1359,4,0),VLOOKUP(B8,SOURCE!$D$1:$H$1359,5,0))),IF(D8=1,VLOOKUP(B8,SOURCE!$D$1:$H$1359,3,0),IF(D8=2,VLOOKUP(B8,SOURCE!$D$1:$H$1359,4,0),VLOOKUP(B8,SOURCE!$D$1:$H$1359,5,0))))," ")</f>
        <v>OCC</v>
      </c>
      <c r="D8" s="98">
        <v>0</v>
      </c>
      <c r="F8" s="55">
        <f>IF(Table1[[#This Row],[STAFF CODE]]=0,0,IF(Table1[[#This Row],[STAFF CODE]]=$K$6,0,1))</f>
        <v>0</v>
      </c>
      <c r="L8" s="97"/>
      <c r="M8" s="136" t="s">
        <v>366</v>
      </c>
      <c r="N8" s="136"/>
    </row>
    <row r="9" spans="1:16">
      <c r="A9" s="96" t="str" cm="1">
        <f t="array" ref="A9">IF(Table1[[#This Row],[TOPIC LIST]]="","",INT((ROW()-3)/WORK_PLACE!$I$2+1) &amp; INDEX({"I","II","III","IV","V","VI","VII","VIII","IX","X"}, MOD(ROW()-3, WORK_PLACE!$I$2)+1))</f>
        <v>2I</v>
      </c>
      <c r="B9" s="47" t="s">
        <v>19</v>
      </c>
      <c r="C9" s="95" t="str">
        <f>IFERROR(IF(D9=0,IF($K$6=1,VLOOKUP(B9,SOURCE!$D$1:$H$1359,3,0),IF($K$6=2,VLOOKUP(B9,SOURCE!$D$1:$H$1359,4,0),VLOOKUP(B9,SOURCE!$D$1:$H$1359,5,0))),IF(D9=1,VLOOKUP(B9,SOURCE!$D$1:$H$1359,3,0),IF(D9=2,VLOOKUP(B9,SOURCE!$D$1:$H$1359,4,0),VLOOKUP(B9,SOURCE!$D$1:$H$1359,5,0))))," ")</f>
        <v>First Aid Faculty</v>
      </c>
      <c r="D9" s="98">
        <v>0</v>
      </c>
      <c r="F9" s="55">
        <f>IF(Table1[[#This Row],[STAFF CODE]]=0,0,IF(Table1[[#This Row],[STAFF CODE]]=$K$6,0,1))</f>
        <v>0</v>
      </c>
      <c r="M9" s="98" t="s">
        <v>0</v>
      </c>
      <c r="N9" s="98">
        <v>1</v>
      </c>
    </row>
    <row r="10" spans="1:16">
      <c r="A10" s="96" t="str" cm="1">
        <f t="array" ref="A10">IF(Table1[[#This Row],[TOPIC LIST]]="","",INT((ROW()-3)/WORK_PLACE!$I$2+1) &amp; INDEX({"I","II","III","IV","V","VI","VII","VIII","IX","X"}, MOD(ROW()-3, WORK_PLACE!$I$2)+1))</f>
        <v>2II</v>
      </c>
      <c r="B10" s="47" t="s">
        <v>21</v>
      </c>
      <c r="C10" s="95" t="str">
        <f>IFERROR(IF(D10=0,IF($K$6=1,VLOOKUP(B10,SOURCE!$D$1:$H$1359,3,0),IF($K$6=2,VLOOKUP(B10,SOURCE!$D$1:$H$1359,4,0),VLOOKUP(B10,SOURCE!$D$1:$H$1359,5,0))),IF(D10=1,VLOOKUP(B10,SOURCE!$D$1:$H$1359,3,0),IF(D10=2,VLOOKUP(B10,SOURCE!$D$1:$H$1359,4,0),VLOOKUP(B10,SOURCE!$D$1:$H$1359,5,0))))," ")</f>
        <v>First Aid Faculty</v>
      </c>
      <c r="D10" s="98">
        <v>0</v>
      </c>
      <c r="F10" s="55">
        <f>IF(Table1[[#This Row],[STAFF CODE]]=0,0,IF(Table1[[#This Row],[STAFF CODE]]=$K$6,0,1))</f>
        <v>0</v>
      </c>
      <c r="M10" s="98" t="s">
        <v>1</v>
      </c>
      <c r="N10" s="98">
        <v>2</v>
      </c>
    </row>
    <row r="11" spans="1:16">
      <c r="A11" s="96" t="str" cm="1">
        <f t="array" ref="A11">IF(Table1[[#This Row],[TOPIC LIST]]="","",INT((ROW()-3)/WORK_PLACE!$I$2+1) &amp; INDEX({"I","II","III","IV","V","VI","VII","VIII","IX","X"}, MOD(ROW()-3, WORK_PLACE!$I$2)+1))</f>
        <v>2III</v>
      </c>
      <c r="B11" s="47" t="s">
        <v>22</v>
      </c>
      <c r="C11" s="95" t="str">
        <f>IFERROR(IF(D11=0,IF($K$6=1,VLOOKUP(B11,SOURCE!$D$1:$H$1359,3,0),IF($K$6=2,VLOOKUP(B11,SOURCE!$D$1:$H$1359,4,0),VLOOKUP(B11,SOURCE!$D$1:$H$1359,5,0))),IF(D11=1,VLOOKUP(B11,SOURCE!$D$1:$H$1359,3,0),IF(D11=2,VLOOKUP(B11,SOURCE!$D$1:$H$1359,4,0),VLOOKUP(B11,SOURCE!$D$1:$H$1359,5,0))))," ")</f>
        <v>First Aid Faculty</v>
      </c>
      <c r="D11" s="98">
        <v>0</v>
      </c>
      <c r="F11" s="55">
        <f>IF(Table1[[#This Row],[STAFF CODE]]=0,0,IF(Table1[[#This Row],[STAFF CODE]]=$K$6,0,1))</f>
        <v>0</v>
      </c>
      <c r="M11" s="98" t="s">
        <v>2</v>
      </c>
      <c r="N11" s="98">
        <v>3</v>
      </c>
    </row>
    <row r="12" spans="1:16">
      <c r="A12" s="96" t="str" cm="1">
        <f t="array" ref="A12">IF(Table1[[#This Row],[TOPIC LIST]]="","",INT((ROW()-3)/WORK_PLACE!$I$2+1) &amp; INDEX({"I","II","III","IV","V","VI","VII","VIII","IX","X"}, MOD(ROW()-3, WORK_PLACE!$I$2)+1))</f>
        <v>2IV</v>
      </c>
      <c r="B12" s="47" t="s">
        <v>23</v>
      </c>
      <c r="C12" s="95" t="str">
        <f>IFERROR(IF(D12=0,IF($K$6=1,VLOOKUP(B12,SOURCE!$D$1:$H$1359,3,0),IF($K$6=2,VLOOKUP(B12,SOURCE!$D$1:$H$1359,4,0),VLOOKUP(B12,SOURCE!$D$1:$H$1359,5,0))),IF(D12=1,VLOOKUP(B12,SOURCE!$D$1:$H$1359,3,0),IF(D12=2,VLOOKUP(B12,SOURCE!$D$1:$H$1359,4,0),VLOOKUP(B12,SOURCE!$D$1:$H$1359,5,0))))," ")</f>
        <v>First Aid Faculty</v>
      </c>
      <c r="D12" s="98">
        <v>0</v>
      </c>
      <c r="F12" s="55">
        <f>IF(Table1[[#This Row],[STAFF CODE]]=0,0,IF(Table1[[#This Row],[STAFF CODE]]=$K$6,0,1))</f>
        <v>0</v>
      </c>
      <c r="M12" s="165" t="s">
        <v>88</v>
      </c>
      <c r="N12" s="98">
        <v>0</v>
      </c>
    </row>
    <row r="13" spans="1:16">
      <c r="A13" s="96" t="str" cm="1">
        <f t="array" ref="A13">IF(Table1[[#This Row],[TOPIC LIST]]="","",INT((ROW()-3)/WORK_PLACE!$I$2+1) &amp; INDEX({"I","II","III","IV","V","VI","VII","VIII","IX","X"}, MOD(ROW()-3, WORK_PLACE!$I$2)+1))</f>
        <v>2V</v>
      </c>
      <c r="B13" s="47" t="s">
        <v>24</v>
      </c>
      <c r="C13" s="95" t="str">
        <f>IFERROR(IF(D13=0,IF($K$6=1,VLOOKUP(B13,SOURCE!$D$1:$H$1359,3,0),IF($K$6=2,VLOOKUP(B13,SOURCE!$D$1:$H$1359,4,0),VLOOKUP(B13,SOURCE!$D$1:$H$1359,5,0))),IF(D13=1,VLOOKUP(B13,SOURCE!$D$1:$H$1359,3,0),IF(D13=2,VLOOKUP(B13,SOURCE!$D$1:$H$1359,4,0),VLOOKUP(B13,SOURCE!$D$1:$H$1359,5,0))))," ")</f>
        <v>First Aid Faculty</v>
      </c>
      <c r="D13" s="98">
        <v>0</v>
      </c>
      <c r="F13" s="55">
        <f>IF(Table1[[#This Row],[STAFF CODE]]=0,0,IF(Table1[[#This Row],[STAFF CODE]]=$K$6,0,1))</f>
        <v>0</v>
      </c>
      <c r="M13" s="165"/>
    </row>
    <row r="14" spans="1:16">
      <c r="A14" s="96" t="str" cm="1">
        <f t="array" ref="A14">IF(Table1[[#This Row],[TOPIC LIST]]="","",INT((ROW()-3)/WORK_PLACE!$I$2+1) &amp; INDEX({"I","II","III","IV","V","VI","VII","VIII","IX","X"}, MOD(ROW()-3, WORK_PLACE!$I$2)+1))</f>
        <v>2VI</v>
      </c>
      <c r="B14" s="47" t="s">
        <v>25</v>
      </c>
      <c r="C14" s="95" t="str">
        <f>IFERROR(IF(D14=0,IF($K$6=1,VLOOKUP(B14,SOURCE!$D$1:$H$1359,3,0),IF($K$6=2,VLOOKUP(B14,SOURCE!$D$1:$H$1359,4,0),VLOOKUP(B14,SOURCE!$D$1:$H$1359,5,0))),IF(D14=1,VLOOKUP(B14,SOURCE!$D$1:$H$1359,3,0),IF(D14=2,VLOOKUP(B14,SOURCE!$D$1:$H$1359,4,0),VLOOKUP(B14,SOURCE!$D$1:$H$1359,5,0))))," ")</f>
        <v>First Aid Faculty</v>
      </c>
      <c r="D14" s="98">
        <v>0</v>
      </c>
      <c r="F14" s="55">
        <f>IF(Table1[[#This Row],[STAFF CODE]]=0,0,IF(Table1[[#This Row],[STAFF CODE]]=$K$6,0,1))</f>
        <v>0</v>
      </c>
    </row>
    <row r="15" spans="1:16">
      <c r="A15" s="96" t="str" cm="1">
        <f t="array" ref="A15">IF(Table1[[#This Row],[TOPIC LIST]]="","",INT((ROW()-3)/WORK_PLACE!$I$2+1) &amp; INDEX({"I","II","III","IV","V","VI","VII","VIII","IX","X"}, MOD(ROW()-3, WORK_PLACE!$I$2)+1))</f>
        <v>3I</v>
      </c>
      <c r="B15" s="47" t="s">
        <v>26</v>
      </c>
      <c r="C15" s="95" t="str">
        <f>IFERROR(IF(D15=0,IF($K$6=1,VLOOKUP(B15,SOURCE!$D$1:$H$1359,3,0),IF($K$6=2,VLOOKUP(B15,SOURCE!$D$1:$H$1359,4,0),VLOOKUP(B15,SOURCE!$D$1:$H$1359,5,0))),IF(D15=1,VLOOKUP(B15,SOURCE!$D$1:$H$1359,3,0),IF(D15=2,VLOOKUP(B15,SOURCE!$D$1:$H$1359,4,0),VLOOKUP(B15,SOURCE!$D$1:$H$1359,5,0))))," ")</f>
        <v>First Aid Faculty</v>
      </c>
      <c r="D15" s="98">
        <v>0</v>
      </c>
      <c r="F15" s="55">
        <f>IF(Table1[[#This Row],[STAFF CODE]]=0,0,IF(Table1[[#This Row],[STAFF CODE]]=$K$6,0,1))</f>
        <v>0</v>
      </c>
    </row>
    <row r="16" spans="1:16">
      <c r="A16" s="96" t="str" cm="1">
        <f t="array" ref="A16">IF(Table1[[#This Row],[TOPIC LIST]]="","",INT((ROW()-3)/WORK_PLACE!$I$2+1) &amp; INDEX({"I","II","III","IV","V","VI","VII","VIII","IX","X"}, MOD(ROW()-3, WORK_PLACE!$I$2)+1))</f>
        <v>3II</v>
      </c>
      <c r="B16" s="47" t="s">
        <v>27</v>
      </c>
      <c r="C16" s="95" t="str">
        <f>IFERROR(IF(D16=0,IF($K$6=1,VLOOKUP(B16,SOURCE!$D$1:$H$1359,3,0),IF($K$6=2,VLOOKUP(B16,SOURCE!$D$1:$H$1359,4,0),VLOOKUP(B16,SOURCE!$D$1:$H$1359,5,0))),IF(D16=1,VLOOKUP(B16,SOURCE!$D$1:$H$1359,3,0),IF(D16=2,VLOOKUP(B16,SOURCE!$D$1:$H$1359,4,0),VLOOKUP(B16,SOURCE!$D$1:$H$1359,5,0))))," ")</f>
        <v>First Aid Faculty</v>
      </c>
      <c r="D16" s="98">
        <v>0</v>
      </c>
      <c r="F16" s="55">
        <f>IF(Table1[[#This Row],[STAFF CODE]]=0,0,IF(Table1[[#This Row],[STAFF CODE]]=$K$6,0,1))</f>
        <v>0</v>
      </c>
    </row>
    <row r="17" spans="1:6">
      <c r="A17" s="96" t="str" cm="1">
        <f t="array" ref="A17">IF(Table1[[#This Row],[TOPIC LIST]]="","",INT((ROW()-3)/WORK_PLACE!$I$2+1) &amp; INDEX({"I","II","III","IV","V","VI","VII","VIII","IX","X"}, MOD(ROW()-3, WORK_PLACE!$I$2)+1))</f>
        <v>3III</v>
      </c>
      <c r="B17" s="47" t="s">
        <v>28</v>
      </c>
      <c r="C17" s="95" t="str">
        <f>IFERROR(IF(D17=0,IF($K$6=1,VLOOKUP(B17,SOURCE!$D$1:$H$1359,3,0),IF($K$6=2,VLOOKUP(B17,SOURCE!$D$1:$H$1359,4,0),VLOOKUP(B17,SOURCE!$D$1:$H$1359,5,0))),IF(D17=1,VLOOKUP(B17,SOURCE!$D$1:$H$1359,3,0),IF(D17=2,VLOOKUP(B17,SOURCE!$D$1:$H$1359,4,0),VLOOKUP(B17,SOURCE!$D$1:$H$1359,5,0))))," ")</f>
        <v>First Aid Faculty</v>
      </c>
      <c r="D17" s="98">
        <v>0</v>
      </c>
      <c r="F17" s="55">
        <f>IF(Table1[[#This Row],[STAFF CODE]]=0,0,IF(Table1[[#This Row],[STAFF CODE]]=$K$6,0,1))</f>
        <v>0</v>
      </c>
    </row>
    <row r="18" spans="1:6">
      <c r="A18" s="96" t="str" cm="1">
        <f t="array" ref="A18">IF(Table1[[#This Row],[TOPIC LIST]]="","",INT((ROW()-3)/WORK_PLACE!$I$2+1) &amp; INDEX({"I","II","III","IV","V","VI","VII","VIII","IX","X"}, MOD(ROW()-3, WORK_PLACE!$I$2)+1))</f>
        <v>3IV</v>
      </c>
      <c r="B18" s="47" t="s">
        <v>29</v>
      </c>
      <c r="C18" s="95" t="str">
        <f>IFERROR(IF(D18=0,IF($K$6=1,VLOOKUP(B18,SOURCE!$D$1:$H$1359,3,0),IF($K$6=2,VLOOKUP(B18,SOURCE!$D$1:$H$1359,4,0),VLOOKUP(B18,SOURCE!$D$1:$H$1359,5,0))),IF(D18=1,VLOOKUP(B18,SOURCE!$D$1:$H$1359,3,0),IF(D18=2,VLOOKUP(B18,SOURCE!$D$1:$H$1359,4,0),VLOOKUP(B18,SOURCE!$D$1:$H$1359,5,0))))," ")</f>
        <v>First Aid Faculty</v>
      </c>
      <c r="D18" s="98">
        <v>0</v>
      </c>
      <c r="F18" s="55">
        <f>IF(Table1[[#This Row],[STAFF CODE]]=0,0,IF(Table1[[#This Row],[STAFF CODE]]=$K$6,0,1))</f>
        <v>0</v>
      </c>
    </row>
    <row r="19" spans="1:6">
      <c r="A19" s="96" t="str" cm="1">
        <f t="array" ref="A19">IF(Table1[[#This Row],[TOPIC LIST]]="","",INT((ROW()-3)/WORK_PLACE!$I$2+1) &amp; INDEX({"I","II","III","IV","V","VI","VII","VIII","IX","X"}, MOD(ROW()-3, WORK_PLACE!$I$2)+1))</f>
        <v>3V</v>
      </c>
      <c r="B19" s="47" t="s">
        <v>30</v>
      </c>
      <c r="C19" s="95" t="str">
        <f>IFERROR(IF(D19=0,IF($K$6=1,VLOOKUP(B19,SOURCE!$D$1:$H$1359,3,0),IF($K$6=2,VLOOKUP(B19,SOURCE!$D$1:$H$1359,4,0),VLOOKUP(B19,SOURCE!$D$1:$H$1359,5,0))),IF(D19=1,VLOOKUP(B19,SOURCE!$D$1:$H$1359,3,0),IF(D19=2,VLOOKUP(B19,SOURCE!$D$1:$H$1359,4,0),VLOOKUP(B19,SOURCE!$D$1:$H$1359,5,0))))," ")</f>
        <v>First Aid Faculty</v>
      </c>
      <c r="D19" s="98">
        <v>0</v>
      </c>
      <c r="F19" s="55">
        <f>IF(Table1[[#This Row],[STAFF CODE]]=0,0,IF(Table1[[#This Row],[STAFF CODE]]=$K$6,0,1))</f>
        <v>0</v>
      </c>
    </row>
    <row r="20" spans="1:6">
      <c r="A20" s="96" t="str" cm="1">
        <f t="array" ref="A20">IF(Table1[[#This Row],[TOPIC LIST]]="","",INT((ROW()-3)/WORK_PLACE!$I$2+1) &amp; INDEX({"I","II","III","IV","V","VI","VII","VIII","IX","X"}, MOD(ROW()-3, WORK_PLACE!$I$2)+1))</f>
        <v>3VI</v>
      </c>
      <c r="B20" s="47" t="s">
        <v>30</v>
      </c>
      <c r="C20" s="95" t="str">
        <f>IFERROR(IF(D20=0,IF($K$6=1,VLOOKUP(B20,SOURCE!$D$1:$H$1359,3,0),IF($K$6=2,VLOOKUP(B20,SOURCE!$D$1:$H$1359,4,0),VLOOKUP(B20,SOURCE!$D$1:$H$1359,5,0))),IF(D20=1,VLOOKUP(B20,SOURCE!$D$1:$H$1359,3,0),IF(D20=2,VLOOKUP(B20,SOURCE!$D$1:$H$1359,4,0),VLOOKUP(B20,SOURCE!$D$1:$H$1359,5,0))))," ")</f>
        <v>First Aid Faculty</v>
      </c>
      <c r="D20" s="98">
        <v>0</v>
      </c>
      <c r="F20" s="55">
        <f>IF(Table1[[#This Row],[STAFF CODE]]=0,0,IF(Table1[[#This Row],[STAFF CODE]]=$K$6,0,1))</f>
        <v>0</v>
      </c>
    </row>
    <row r="21" spans="1:6">
      <c r="A21" s="96" t="str" cm="1">
        <f t="array" ref="A21">IF(Table1[[#This Row],[TOPIC LIST]]="","",INT((ROW()-3)/WORK_PLACE!$I$2+1) &amp; INDEX({"I","II","III","IV","V","VI","VII","VIII","IX","X"}, MOD(ROW()-3, WORK_PLACE!$I$2)+1))</f>
        <v>4I</v>
      </c>
      <c r="B21" s="47" t="s">
        <v>31</v>
      </c>
      <c r="C21" s="95" t="str">
        <f>IFERROR(IF(D21=0,IF($K$6=1,VLOOKUP(B21,SOURCE!$D$1:$H$1359,3,0),IF($K$6=2,VLOOKUP(B21,SOURCE!$D$1:$H$1359,4,0),VLOOKUP(B21,SOURCE!$D$1:$H$1359,5,0))),IF(D21=1,VLOOKUP(B21,SOURCE!$D$1:$H$1359,3,0),IF(D21=2,VLOOKUP(B21,SOURCE!$D$1:$H$1359,4,0),VLOOKUP(B21,SOURCE!$D$1:$H$1359,5,0))))," ")</f>
        <v>First Aid Faculty</v>
      </c>
      <c r="D21" s="98">
        <v>0</v>
      </c>
      <c r="F21" s="55">
        <f>IF(Table1[[#This Row],[STAFF CODE]]=0,0,IF(Table1[[#This Row],[STAFF CODE]]=$K$6,0,1))</f>
        <v>0</v>
      </c>
    </row>
    <row r="22" spans="1:6">
      <c r="A22" s="96" t="str" cm="1">
        <f t="array" ref="A22">IF(Table1[[#This Row],[TOPIC LIST]]="","",INT((ROW()-3)/WORK_PLACE!$I$2+1) &amp; INDEX({"I","II","III","IV","V","VI","VII","VIII","IX","X"}, MOD(ROW()-3, WORK_PLACE!$I$2)+1))</f>
        <v>4II</v>
      </c>
      <c r="B22" s="47" t="s">
        <v>31</v>
      </c>
      <c r="C22" s="95" t="str">
        <f>IFERROR(IF(D22=0,IF($K$6=1,VLOOKUP(B22,SOURCE!$D$1:$H$1359,3,0),IF($K$6=2,VLOOKUP(B22,SOURCE!$D$1:$H$1359,4,0),VLOOKUP(B22,SOURCE!$D$1:$H$1359,5,0))),IF(D22=1,VLOOKUP(B22,SOURCE!$D$1:$H$1359,3,0),IF(D22=2,VLOOKUP(B22,SOURCE!$D$1:$H$1359,4,0),VLOOKUP(B22,SOURCE!$D$1:$H$1359,5,0))))," ")</f>
        <v>First Aid Faculty</v>
      </c>
      <c r="D22" s="98">
        <v>0</v>
      </c>
      <c r="F22" s="55">
        <f>IF(Table1[[#This Row],[STAFF CODE]]=0,0,IF(Table1[[#This Row],[STAFF CODE]]=$K$6,0,1))</f>
        <v>0</v>
      </c>
    </row>
    <row r="23" spans="1:6">
      <c r="A23" s="96" t="str" cm="1">
        <f t="array" ref="A23">IF(Table1[[#This Row],[TOPIC LIST]]="","",INT((ROW()-3)/WORK_PLACE!$I$2+1) &amp; INDEX({"I","II","III","IV","V","VI","VII","VIII","IX","X"}, MOD(ROW()-3, WORK_PLACE!$I$2)+1))</f>
        <v>4III</v>
      </c>
      <c r="B23" s="47" t="s">
        <v>31</v>
      </c>
      <c r="C23" s="95" t="str">
        <f>IFERROR(IF(D23=0,IF($K$6=1,VLOOKUP(B23,SOURCE!$D$1:$H$1359,3,0),IF($K$6=2,VLOOKUP(B23,SOURCE!$D$1:$H$1359,4,0),VLOOKUP(B23,SOURCE!$D$1:$H$1359,5,0))),IF(D23=1,VLOOKUP(B23,SOURCE!$D$1:$H$1359,3,0),IF(D23=2,VLOOKUP(B23,SOURCE!$D$1:$H$1359,4,0),VLOOKUP(B23,SOURCE!$D$1:$H$1359,5,0))))," ")</f>
        <v>First Aid Faculty</v>
      </c>
      <c r="D23" s="98">
        <v>0</v>
      </c>
      <c r="F23" s="55">
        <f>IF(Table1[[#This Row],[STAFF CODE]]=0,0,IF(Table1[[#This Row],[STAFF CODE]]=$K$6,0,1))</f>
        <v>0</v>
      </c>
    </row>
    <row r="24" spans="1:6">
      <c r="A24" s="96" t="str" cm="1">
        <f t="array" ref="A24">IF(Table1[[#This Row],[TOPIC LIST]]="","",INT((ROW()-3)/WORK_PLACE!$I$2+1) &amp; INDEX({"I","II","III","IV","V","VI","VII","VIII","IX","X"}, MOD(ROW()-3, WORK_PLACE!$I$2)+1))</f>
        <v>4IV</v>
      </c>
      <c r="B24" s="47" t="s">
        <v>32</v>
      </c>
      <c r="C24" s="95" t="str">
        <f>IFERROR(IF(D24=0,IF($K$6=1,VLOOKUP(B24,SOURCE!$D$1:$H$1359,3,0),IF($K$6=2,VLOOKUP(B24,SOURCE!$D$1:$H$1359,4,0),VLOOKUP(B24,SOURCE!$D$1:$H$1359,5,0))),IF(D24=1,VLOOKUP(B24,SOURCE!$D$1:$H$1359,3,0),IF(D24=2,VLOOKUP(B24,SOURCE!$D$1:$H$1359,4,0),VLOOKUP(B24,SOURCE!$D$1:$H$1359,5,0))))," ")</f>
        <v>First Aid Faculty</v>
      </c>
      <c r="D24" s="98">
        <v>0</v>
      </c>
      <c r="F24" s="55">
        <f>IF(Table1[[#This Row],[STAFF CODE]]=0,0,IF(Table1[[#This Row],[STAFF CODE]]=$K$6,0,1))</f>
        <v>0</v>
      </c>
    </row>
    <row r="25" spans="1:6">
      <c r="A25" s="96" t="str" cm="1">
        <f t="array" ref="A25">IF(Table1[[#This Row],[TOPIC LIST]]="","",INT((ROW()-3)/WORK_PLACE!$I$2+1) &amp; INDEX({"I","II","III","IV","V","VI","VII","VIII","IX","X"}, MOD(ROW()-3, WORK_PLACE!$I$2)+1))</f>
        <v>4V</v>
      </c>
      <c r="B25" s="47" t="s">
        <v>32</v>
      </c>
      <c r="C25" s="95" t="str">
        <f>IFERROR(IF(D25=0,IF($K$6=1,VLOOKUP(B25,SOURCE!$D$1:$H$1359,3,0),IF($K$6=2,VLOOKUP(B25,SOURCE!$D$1:$H$1359,4,0),VLOOKUP(B25,SOURCE!$D$1:$H$1359,5,0))),IF(D25=1,VLOOKUP(B25,SOURCE!$D$1:$H$1359,3,0),IF(D25=2,VLOOKUP(B25,SOURCE!$D$1:$H$1359,4,0),VLOOKUP(B25,SOURCE!$D$1:$H$1359,5,0))))," ")</f>
        <v>First Aid Faculty</v>
      </c>
      <c r="D25" s="98">
        <v>0</v>
      </c>
      <c r="F25" s="55">
        <f>IF(Table1[[#This Row],[STAFF CODE]]=0,0,IF(Table1[[#This Row],[STAFF CODE]]=$K$6,0,1))</f>
        <v>0</v>
      </c>
    </row>
    <row r="26" spans="1:6">
      <c r="A26" s="96" t="str" cm="1">
        <f t="array" ref="A26">IF(Table1[[#This Row],[TOPIC LIST]]="","",INT((ROW()-3)/WORK_PLACE!$I$2+1) &amp; INDEX({"I","II","III","IV","V","VI","VII","VIII","IX","X"}, MOD(ROW()-3, WORK_PLACE!$I$2)+1))</f>
        <v>4VI</v>
      </c>
      <c r="B26" s="47" t="s">
        <v>33</v>
      </c>
      <c r="C26" s="95" t="str">
        <f>IFERROR(IF(D26=0,IF($K$6=1,VLOOKUP(B26,SOURCE!$D$1:$H$1359,3,0),IF($K$6=2,VLOOKUP(B26,SOURCE!$D$1:$H$1359,4,0),VLOOKUP(B26,SOURCE!$D$1:$H$1359,5,0))),IF(D26=1,VLOOKUP(B26,SOURCE!$D$1:$H$1359,3,0),IF(D26=2,VLOOKUP(B26,SOURCE!$D$1:$H$1359,4,0),VLOOKUP(B26,SOURCE!$D$1:$H$1359,5,0))))," ")</f>
        <v>First Aid Faculty</v>
      </c>
      <c r="D26" s="98">
        <v>0</v>
      </c>
      <c r="F26" s="55">
        <f>IF(Table1[[#This Row],[STAFF CODE]]=0,0,IF(Table1[[#This Row],[STAFF CODE]]=$K$6,0,1))</f>
        <v>0</v>
      </c>
    </row>
    <row r="27" spans="1:6" ht="28.8">
      <c r="A27" s="96" t="str" cm="1">
        <f t="array" ref="A27">IF(Table1[[#This Row],[TOPIC LIST]]="","",INT((ROW()-3)/WORK_PLACE!$I$2+1) &amp; INDEX({"I","II","III","IV","V","VI","VII","VIII","IX","X"}, MOD(ROW()-3, WORK_PLACE!$I$2)+1))</f>
        <v>5I</v>
      </c>
      <c r="B27" s="47" t="s">
        <v>34</v>
      </c>
      <c r="C27" s="95" t="str">
        <f>IFERROR(IF(D27=0,IF($K$6=1,VLOOKUP(B27,SOURCE!$D$1:$H$1359,3,0),IF($K$6=2,VLOOKUP(B27,SOURCE!$D$1:$H$1359,4,0),VLOOKUP(B27,SOURCE!$D$1:$H$1359,5,0))),IF(D27=1,VLOOKUP(B27,SOURCE!$D$1:$H$1359,3,0),IF(D27=2,VLOOKUP(B27,SOURCE!$D$1:$H$1359,4,0),VLOOKUP(B27,SOURCE!$D$1:$H$1359,5,0))))," ")</f>
        <v>Fire Fighting Faculty</v>
      </c>
      <c r="D27" s="98">
        <v>0</v>
      </c>
      <c r="F27" s="55">
        <f>IF(Table1[[#This Row],[STAFF CODE]]=0,0,IF(Table1[[#This Row],[STAFF CODE]]=$K$6,0,1))</f>
        <v>0</v>
      </c>
    </row>
    <row r="28" spans="1:6">
      <c r="A28" s="96" t="str" cm="1">
        <f t="array" ref="A28">IF(Table1[[#This Row],[TOPIC LIST]]="","",INT((ROW()-3)/WORK_PLACE!$I$2+1) &amp; INDEX({"I","II","III","IV","V","VI","VII","VIII","IX","X"}, MOD(ROW()-3, WORK_PLACE!$I$2)+1))</f>
        <v>5II</v>
      </c>
      <c r="B28" s="47" t="s">
        <v>36</v>
      </c>
      <c r="C28" s="95" t="str">
        <f>IFERROR(IF(D28=0,IF($K$6=1,VLOOKUP(B28,SOURCE!$D$1:$H$1359,3,0),IF($K$6=2,VLOOKUP(B28,SOURCE!$D$1:$H$1359,4,0),VLOOKUP(B28,SOURCE!$D$1:$H$1359,5,0))),IF(D28=1,VLOOKUP(B28,SOURCE!$D$1:$H$1359,3,0),IF(D28=2,VLOOKUP(B28,SOURCE!$D$1:$H$1359,4,0),VLOOKUP(B28,SOURCE!$D$1:$H$1359,5,0))))," ")</f>
        <v>Fire Fighting Faculty</v>
      </c>
      <c r="D28" s="98">
        <v>0</v>
      </c>
      <c r="F28" s="55">
        <f>IF(Table1[[#This Row],[STAFF CODE]]=0,0,IF(Table1[[#This Row],[STAFF CODE]]=$K$6,0,1))</f>
        <v>0</v>
      </c>
    </row>
    <row r="29" spans="1:6">
      <c r="A29" s="96" t="str" cm="1">
        <f t="array" ref="A29">IF(Table1[[#This Row],[TOPIC LIST]]="","",INT((ROW()-3)/WORK_PLACE!$I$2+1) &amp; INDEX({"I","II","III","IV","V","VI","VII","VIII","IX","X"}, MOD(ROW()-3, WORK_PLACE!$I$2)+1))</f>
        <v>5III</v>
      </c>
      <c r="B29" s="47" t="s">
        <v>37</v>
      </c>
      <c r="C29" s="95" t="str">
        <f>IFERROR(IF(D29=0,IF($K$6=1,VLOOKUP(B29,SOURCE!$D$1:$H$1359,3,0),IF($K$6=2,VLOOKUP(B29,SOURCE!$D$1:$H$1359,4,0),VLOOKUP(B29,SOURCE!$D$1:$H$1359,5,0))),IF(D29=1,VLOOKUP(B29,SOURCE!$D$1:$H$1359,3,0),IF(D29=2,VLOOKUP(B29,SOURCE!$D$1:$H$1359,4,0),VLOOKUP(B29,SOURCE!$D$1:$H$1359,5,0))))," ")</f>
        <v>Fire Fighting Faculty</v>
      </c>
      <c r="D29" s="98">
        <v>0</v>
      </c>
      <c r="F29" s="55">
        <f>IF(Table1[[#This Row],[STAFF CODE]]=0,0,IF(Table1[[#This Row],[STAFF CODE]]=$K$6,0,1))</f>
        <v>0</v>
      </c>
    </row>
    <row r="30" spans="1:6" ht="28.8">
      <c r="A30" s="96" t="str" cm="1">
        <f t="array" ref="A30">IF(Table1[[#This Row],[TOPIC LIST]]="","",INT((ROW()-3)/WORK_PLACE!$I$2+1) &amp; INDEX({"I","II","III","IV","V","VI","VII","VIII","IX","X"}, MOD(ROW()-3, WORK_PLACE!$I$2)+1))</f>
        <v>5IV</v>
      </c>
      <c r="B30" s="47" t="s">
        <v>38</v>
      </c>
      <c r="C30" s="95" t="str">
        <f>IFERROR(IF(D30=0,IF($K$6=1,VLOOKUP(B30,SOURCE!$D$1:$H$1359,3,0),IF($K$6=2,VLOOKUP(B30,SOURCE!$D$1:$H$1359,4,0),VLOOKUP(B30,SOURCE!$D$1:$H$1359,5,0))),IF(D30=1,VLOOKUP(B30,SOURCE!$D$1:$H$1359,3,0),IF(D30=2,VLOOKUP(B30,SOURCE!$D$1:$H$1359,4,0),VLOOKUP(B30,SOURCE!$D$1:$H$1359,5,0))))," ")</f>
        <v>Fire Fighting Faculty</v>
      </c>
      <c r="D30" s="98">
        <v>0</v>
      </c>
      <c r="F30" s="55">
        <f>IF(Table1[[#This Row],[STAFF CODE]]=0,0,IF(Table1[[#This Row],[STAFF CODE]]=$K$6,0,1))</f>
        <v>0</v>
      </c>
    </row>
    <row r="31" spans="1:6" ht="28.8">
      <c r="A31" s="96" t="str" cm="1">
        <f t="array" ref="A31">IF(Table1[[#This Row],[TOPIC LIST]]="","",INT((ROW()-3)/WORK_PLACE!$I$2+1) &amp; INDEX({"I","II","III","IV","V","VI","VII","VIII","IX","X"}, MOD(ROW()-3, WORK_PLACE!$I$2)+1))</f>
        <v>5V</v>
      </c>
      <c r="B31" s="47" t="s">
        <v>39</v>
      </c>
      <c r="C31" s="95" t="str">
        <f>IFERROR(IF(D31=0,IF($K$6=1,VLOOKUP(B31,SOURCE!$D$1:$H$1359,3,0),IF($K$6=2,VLOOKUP(B31,SOURCE!$D$1:$H$1359,4,0),VLOOKUP(B31,SOURCE!$D$1:$H$1359,5,0))),IF(D31=1,VLOOKUP(B31,SOURCE!$D$1:$H$1359,3,0),IF(D31=2,VLOOKUP(B31,SOURCE!$D$1:$H$1359,4,0),VLOOKUP(B31,SOURCE!$D$1:$H$1359,5,0))))," ")</f>
        <v>Fire Fighting Faculty</v>
      </c>
      <c r="D31" s="98">
        <v>0</v>
      </c>
      <c r="F31" s="55">
        <f>IF(Table1[[#This Row],[STAFF CODE]]=0,0,IF(Table1[[#This Row],[STAFF CODE]]=$K$6,0,1))</f>
        <v>0</v>
      </c>
    </row>
    <row r="32" spans="1:6" ht="28.8">
      <c r="A32" s="96" t="str" cm="1">
        <f t="array" ref="A32">IF(Table1[[#This Row],[TOPIC LIST]]="","",INT((ROW()-3)/WORK_PLACE!$I$2+1) &amp; INDEX({"I","II","III","IV","V","VI","VII","VIII","IX","X"}, MOD(ROW()-3, WORK_PLACE!$I$2)+1))</f>
        <v>5VI</v>
      </c>
      <c r="B32" s="47" t="s">
        <v>39</v>
      </c>
      <c r="C32" s="95" t="str">
        <f>IFERROR(IF(D32=0,IF($K$6=1,VLOOKUP(B32,SOURCE!$D$1:$H$1359,3,0),IF($K$6=2,VLOOKUP(B32,SOURCE!$D$1:$H$1359,4,0),VLOOKUP(B32,SOURCE!$D$1:$H$1359,5,0))),IF(D32=1,VLOOKUP(B32,SOURCE!$D$1:$H$1359,3,0),IF(D32=2,VLOOKUP(B32,SOURCE!$D$1:$H$1359,4,0),VLOOKUP(B32,SOURCE!$D$1:$H$1359,5,0))))," ")</f>
        <v>Fire Fighting Faculty</v>
      </c>
      <c r="D32" s="98">
        <v>0</v>
      </c>
      <c r="F32" s="55">
        <f>IF(Table1[[#This Row],[STAFF CODE]]=0,0,IF(Table1[[#This Row],[STAFF CODE]]=$K$6,0,1))</f>
        <v>0</v>
      </c>
    </row>
    <row r="33" spans="1:8" ht="28.8">
      <c r="A33" s="96" t="str" cm="1">
        <f t="array" ref="A33">IF(Table1[[#This Row],[TOPIC LIST]]="","",INT((ROW()-3)/WORK_PLACE!$I$2+1) &amp; INDEX({"I","II","III","IV","V","VI","VII","VIII","IX","X"}, MOD(ROW()-3, WORK_PLACE!$I$2)+1))</f>
        <v>6I</v>
      </c>
      <c r="B33" s="47" t="s">
        <v>40</v>
      </c>
      <c r="C33" s="95" t="str">
        <f>IFERROR(IF(D33=0,IF($K$6=1,VLOOKUP(B33,SOURCE!$D$1:$H$1359,3,0),IF($K$6=2,VLOOKUP(B33,SOURCE!$D$1:$H$1359,4,0),VLOOKUP(B33,SOURCE!$D$1:$H$1359,5,0))),IF(D33=1,VLOOKUP(B33,SOURCE!$D$1:$H$1359,3,0),IF(D33=2,VLOOKUP(B33,SOURCE!$D$1:$H$1359,4,0),VLOOKUP(B33,SOURCE!$D$1:$H$1359,5,0))))," ")</f>
        <v>Fire Fighting Faculty</v>
      </c>
      <c r="D33" s="98">
        <v>0</v>
      </c>
      <c r="F33" s="55">
        <f>IF(Table1[[#This Row],[STAFF CODE]]=0,0,IF(Table1[[#This Row],[STAFF CODE]]=$K$6,0,1))</f>
        <v>0</v>
      </c>
    </row>
    <row r="34" spans="1:8">
      <c r="A34" s="96" t="str" cm="1">
        <f t="array" ref="A34">IF(Table1[[#This Row],[TOPIC LIST]]="","",INT((ROW()-3)/WORK_PLACE!$I$2+1) &amp; INDEX({"I","II","III","IV","V","VI","VII","VIII","IX","X"}, MOD(ROW()-3, WORK_PLACE!$I$2)+1))</f>
        <v>6II</v>
      </c>
      <c r="B34" s="47" t="s">
        <v>41</v>
      </c>
      <c r="C34" s="95" t="str">
        <f>IFERROR(IF(D34=0,IF($K$6=1,VLOOKUP(B34,SOURCE!$D$1:$H$1359,3,0),IF($K$6=2,VLOOKUP(B34,SOURCE!$D$1:$H$1359,4,0),VLOOKUP(B34,SOURCE!$D$1:$H$1359,5,0))),IF(D34=1,VLOOKUP(B34,SOURCE!$D$1:$H$1359,3,0),IF(D34=2,VLOOKUP(B34,SOURCE!$D$1:$H$1359,4,0),VLOOKUP(B34,SOURCE!$D$1:$H$1359,5,0))))," ")</f>
        <v>Security Staff</v>
      </c>
      <c r="D34" s="98">
        <v>0</v>
      </c>
      <c r="F34" s="55">
        <f>IF(Table1[[#This Row],[STAFF CODE]]=0,0,IF(Table1[[#This Row],[STAFF CODE]]=$K$6,0,1))</f>
        <v>0</v>
      </c>
    </row>
    <row r="35" spans="1:8">
      <c r="A35" s="96" t="str" cm="1">
        <f t="array" ref="A35">IF(Table1[[#This Row],[TOPIC LIST]]="","",INT((ROW()-3)/WORK_PLACE!$I$2+1) &amp; INDEX({"I","II","III","IV","V","VI","VII","VIII","IX","X"}, MOD(ROW()-3, WORK_PLACE!$I$2)+1))</f>
        <v>6III</v>
      </c>
      <c r="B35" s="47" t="s">
        <v>43</v>
      </c>
      <c r="C35" s="95" t="str">
        <f>IFERROR(IF(D35=0,IF($K$6=1,VLOOKUP(B35,SOURCE!$D$1:$H$1359,3,0),IF($K$6=2,VLOOKUP(B35,SOURCE!$D$1:$H$1359,4,0),VLOOKUP(B35,SOURCE!$D$1:$H$1359,5,0))),IF(D35=1,VLOOKUP(B35,SOURCE!$D$1:$H$1359,3,0),IF(D35=2,VLOOKUP(B35,SOURCE!$D$1:$H$1359,4,0),VLOOKUP(B35,SOURCE!$D$1:$H$1359,5,0))))," ")</f>
        <v>Security Staff</v>
      </c>
      <c r="D35" s="98">
        <v>0</v>
      </c>
      <c r="F35" s="55">
        <f>IF(Table1[[#This Row],[STAFF CODE]]=0,0,IF(Table1[[#This Row],[STAFF CODE]]=$K$6,0,1))</f>
        <v>0</v>
      </c>
    </row>
    <row r="36" spans="1:8" ht="28.8">
      <c r="A36" s="96" t="str" cm="1">
        <f t="array" ref="A36">IF(Table1[[#This Row],[TOPIC LIST]]="","",INT((ROW()-3)/WORK_PLACE!$I$2+1) &amp; INDEX({"I","II","III","IV","V","VI","VII","VIII","IX","X"}, MOD(ROW()-3, WORK_PLACE!$I$2)+1))</f>
        <v>6IV</v>
      </c>
      <c r="B36" s="47" t="s">
        <v>44</v>
      </c>
      <c r="C36" s="95" t="str">
        <f>IFERROR(IF(D36=0,IF($K$6=1,VLOOKUP(B36,SOURCE!$D$1:$H$1359,3,0),IF($K$6=2,VLOOKUP(B36,SOURCE!$D$1:$H$1359,4,0),VLOOKUP(B36,SOURCE!$D$1:$H$1359,5,0))),IF(D36=1,VLOOKUP(B36,SOURCE!$D$1:$H$1359,3,0),IF(D36=2,VLOOKUP(B36,SOURCE!$D$1:$H$1359,4,0),VLOOKUP(B36,SOURCE!$D$1:$H$1359,5,0))))," ")</f>
        <v>Security Staff</v>
      </c>
      <c r="D36" s="98">
        <v>0</v>
      </c>
      <c r="F36" s="55">
        <f>IF(Table1[[#This Row],[STAFF CODE]]=0,0,IF(Table1[[#This Row],[STAFF CODE]]=$K$6,0,1))</f>
        <v>0</v>
      </c>
    </row>
    <row r="37" spans="1:8" ht="28.8">
      <c r="A37" s="96" t="str" cm="1">
        <f t="array" ref="A37">IF(Table1[[#This Row],[TOPIC LIST]]="","",INT((ROW()-3)/WORK_PLACE!$I$2+1) &amp; INDEX({"I","II","III","IV","V","VI","VII","VIII","IX","X"}, MOD(ROW()-3, WORK_PLACE!$I$2)+1))</f>
        <v>6V</v>
      </c>
      <c r="B37" s="47" t="s">
        <v>55</v>
      </c>
      <c r="C37" s="95" t="str">
        <f>IFERROR(IF(D37=0,IF($K$6=1,VLOOKUP(B37,SOURCE!$D$1:$H$1359,3,0),IF($K$6=2,VLOOKUP(B37,SOURCE!$D$1:$H$1359,4,0),VLOOKUP(B37,SOURCE!$D$1:$H$1359,5,0))),IF(D37=1,VLOOKUP(B37,SOURCE!$D$1:$H$1359,3,0),IF(D37=2,VLOOKUP(B37,SOURCE!$D$1:$H$1359,4,0),VLOOKUP(B37,SOURCE!$D$1:$H$1359,5,0))))," ")</f>
        <v>Sh R K Taneja</v>
      </c>
      <c r="D37" s="98">
        <v>0</v>
      </c>
      <c r="F37" s="55">
        <f>IF(Table1[[#This Row],[STAFF CODE]]=0,0,IF(Table1[[#This Row],[STAFF CODE]]=$K$6,0,1))</f>
        <v>0</v>
      </c>
    </row>
    <row r="38" spans="1:8" ht="28.8">
      <c r="A38" s="96" t="str" cm="1">
        <f t="array" ref="A38">IF(Table1[[#This Row],[TOPIC LIST]]="","",INT((ROW()-3)/WORK_PLACE!$I$2+1) &amp; INDEX({"I","II","III","IV","V","VI","VII","VIII","IX","X"}, MOD(ROW()-3, WORK_PLACE!$I$2)+1))</f>
        <v>6VI</v>
      </c>
      <c r="B38" s="47" t="s">
        <v>55</v>
      </c>
      <c r="C38" s="95" t="str">
        <f>IFERROR(IF(D38=0,IF($K$6=1,VLOOKUP(B38,SOURCE!$D$1:$H$1359,3,0),IF($K$6=2,VLOOKUP(B38,SOURCE!$D$1:$H$1359,4,0),VLOOKUP(B38,SOURCE!$D$1:$H$1359,5,0))),IF(D38=1,VLOOKUP(B38,SOURCE!$D$1:$H$1359,3,0),IF(D38=2,VLOOKUP(B38,SOURCE!$D$1:$H$1359,4,0),VLOOKUP(B38,SOURCE!$D$1:$H$1359,5,0))))," ")</f>
        <v>Sh Gaurav Saxena</v>
      </c>
      <c r="D38" s="98">
        <v>3</v>
      </c>
      <c r="F38" s="55">
        <f>IF(Table1[[#This Row],[STAFF CODE]]=0,0,IF(Table1[[#This Row],[STAFF CODE]]=$K$6,0,1))</f>
        <v>1</v>
      </c>
    </row>
    <row r="39" spans="1:8">
      <c r="A39" s="96" t="str" cm="1">
        <f t="array" ref="A39">IF(Table1[[#This Row],[TOPIC LIST]]="","",INT((ROW()-3)/WORK_PLACE!$I$2+1) &amp; INDEX({"I","II","III","IV","V","VI","VII","VIII","IX","X"}, MOD(ROW()-3, WORK_PLACE!$I$2)+1))</f>
        <v>7I</v>
      </c>
      <c r="B39" s="47" t="s">
        <v>426</v>
      </c>
      <c r="C39" s="95" t="str">
        <f>IFERROR(IF(D39=0,IF($K$6=1,VLOOKUP(B39,SOURCE!$D$1:$H$1359,3,0),IF($K$6=2,VLOOKUP(B39,SOURCE!$D$1:$H$1359,4,0),VLOOKUP(B39,SOURCE!$D$1:$H$1359,5,0))),IF(D39=1,VLOOKUP(B39,SOURCE!$D$1:$H$1359,3,0),IF(D39=2,VLOOKUP(B39,SOURCE!$D$1:$H$1359,4,0),VLOOKUP(B39,SOURCE!$D$1:$H$1359,5,0))))," ")</f>
        <v>Sh Lokesh</v>
      </c>
      <c r="D39" s="98">
        <v>0</v>
      </c>
      <c r="F39" s="55">
        <f>IF(Table1[[#This Row],[STAFF CODE]]=0,0,IF(Table1[[#This Row],[STAFF CODE]]=$K$6,0,1))</f>
        <v>0</v>
      </c>
    </row>
    <row r="40" spans="1:8">
      <c r="A40" s="96" t="str" cm="1">
        <f t="array" ref="A40">IF(Table1[[#This Row],[TOPIC LIST]]="","",INT((ROW()-3)/WORK_PLACE!$I$2+1) &amp; INDEX({"I","II","III","IV","V","VI","VII","VIII","IX","X"}, MOD(ROW()-3, WORK_PLACE!$I$2)+1))</f>
        <v>7II</v>
      </c>
      <c r="B40" s="47" t="s">
        <v>426</v>
      </c>
      <c r="C40" s="95" t="str">
        <f>IFERROR(IF(D40=0,IF($K$6=1,VLOOKUP(B40,SOURCE!$D$1:$H$1359,3,0),IF($K$6=2,VLOOKUP(B40,SOURCE!$D$1:$H$1359,4,0),VLOOKUP(B40,SOURCE!$D$1:$H$1359,5,0))),IF(D40=1,VLOOKUP(B40,SOURCE!$D$1:$H$1359,3,0),IF(D40=2,VLOOKUP(B40,SOURCE!$D$1:$H$1359,4,0),VLOOKUP(B40,SOURCE!$D$1:$H$1359,5,0))))," ")</f>
        <v>Sh Lokesh</v>
      </c>
      <c r="D40" s="98">
        <v>0</v>
      </c>
      <c r="F40" s="55">
        <f>IF(Table1[[#This Row],[STAFF CODE]]=0,0,IF(Table1[[#This Row],[STAFF CODE]]=$K$6,0,1))</f>
        <v>0</v>
      </c>
    </row>
    <row r="41" spans="1:8">
      <c r="A41" s="96" t="str" cm="1">
        <f t="array" ref="A41">IF(Table1[[#This Row],[TOPIC LIST]]="","",INT((ROW()-3)/WORK_PLACE!$I$2+1) &amp; INDEX({"I","II","III","IV","V","VI","VII","VIII","IX","X"}, MOD(ROW()-3, WORK_PLACE!$I$2)+1))</f>
        <v>7III</v>
      </c>
      <c r="B41" s="47" t="s">
        <v>427</v>
      </c>
      <c r="C41" s="95" t="str">
        <f>IFERROR(IF(D41=0,IF($K$6=1,VLOOKUP(B41,SOURCE!$D$1:$H$1359,3,0),IF($K$6=2,VLOOKUP(B41,SOURCE!$D$1:$H$1359,4,0),VLOOKUP(B41,SOURCE!$D$1:$H$1359,5,0))),IF(D41=1,VLOOKUP(B41,SOURCE!$D$1:$H$1359,3,0),IF(D41=2,VLOOKUP(B41,SOURCE!$D$1:$H$1359,4,0),VLOOKUP(B41,SOURCE!$D$1:$H$1359,5,0))))," ")</f>
        <v>Sh Ashwai Gupta</v>
      </c>
      <c r="D41" s="98">
        <v>0</v>
      </c>
      <c r="F41" s="55">
        <f>IF(Table1[[#This Row],[STAFF CODE]]=0,0,IF(Table1[[#This Row],[STAFF CODE]]=$K$6,0,1))</f>
        <v>0</v>
      </c>
    </row>
    <row r="42" spans="1:8">
      <c r="A42" s="96" t="str" cm="1">
        <f t="array" ref="A42">IF(Table1[[#This Row],[TOPIC LIST]]="","",INT((ROW()-3)/WORK_PLACE!$I$2+1) &amp; INDEX({"I","II","III","IV","V","VI","VII","VIII","IX","X"}, MOD(ROW()-3, WORK_PLACE!$I$2)+1))</f>
        <v>7IV</v>
      </c>
      <c r="B42" s="47" t="s">
        <v>427</v>
      </c>
      <c r="C42" s="95" t="str">
        <f>IFERROR(IF(D42=0,IF($K$6=1,VLOOKUP(B42,SOURCE!$D$1:$H$1359,3,0),IF($K$6=2,VLOOKUP(B42,SOURCE!$D$1:$H$1359,4,0),VLOOKUP(B42,SOURCE!$D$1:$H$1359,5,0))),IF(D42=1,VLOOKUP(B42,SOURCE!$D$1:$H$1359,3,0),IF(D42=2,VLOOKUP(B42,SOURCE!$D$1:$H$1359,4,0),VLOOKUP(B42,SOURCE!$D$1:$H$1359,5,0))))," ")</f>
        <v>Sh Ashwai Gupta</v>
      </c>
      <c r="D42" s="98">
        <v>0</v>
      </c>
      <c r="F42" s="55">
        <f>IF(Table1[[#This Row],[STAFF CODE]]=0,0,IF(Table1[[#This Row],[STAFF CODE]]=$K$6,0,1))</f>
        <v>0</v>
      </c>
      <c r="H42" s="98" t="s">
        <v>354</v>
      </c>
    </row>
    <row r="43" spans="1:8">
      <c r="A43" s="96" t="str" cm="1">
        <f t="array" ref="A43">IF(Table1[[#This Row],[TOPIC LIST]]="","",INT((ROW()-3)/WORK_PLACE!$I$2+1) &amp; INDEX({"I","II","III","IV","V","VI","VII","VIII","IX","X"}, MOD(ROW()-3, WORK_PLACE!$I$2)+1))</f>
        <v>7V</v>
      </c>
      <c r="B43" s="47" t="s">
        <v>49</v>
      </c>
      <c r="C43" s="95" t="str">
        <f>IFERROR(IF(D43=0,IF($K$6=1,VLOOKUP(B43,SOURCE!$D$1:$H$1359,3,0),IF($K$6=2,VLOOKUP(B43,SOURCE!$D$1:$H$1359,4,0),VLOOKUP(B43,SOURCE!$D$1:$H$1359,5,0))),IF(D43=1,VLOOKUP(B43,SOURCE!$D$1:$H$1359,3,0),IF(D43=2,VLOOKUP(B43,SOURCE!$D$1:$H$1359,4,0),VLOOKUP(B43,SOURCE!$D$1:$H$1359,5,0))))," ")</f>
        <v>Sh D K katiyar</v>
      </c>
      <c r="D43" s="98">
        <v>0</v>
      </c>
      <c r="F43" s="55">
        <f>IF(Table1[[#This Row],[STAFF CODE]]=0,0,IF(Table1[[#This Row],[STAFF CODE]]=$K$6,0,1))</f>
        <v>0</v>
      </c>
    </row>
    <row r="44" spans="1:8">
      <c r="A44" s="96" t="str" cm="1">
        <f t="array" ref="A44">IF(Table1[[#This Row],[TOPIC LIST]]="","",INT((ROW()-3)/WORK_PLACE!$I$2+1) &amp; INDEX({"I","II","III","IV","V","VI","VII","VIII","IX","X"}, MOD(ROW()-3, WORK_PLACE!$I$2)+1))</f>
        <v>7VI</v>
      </c>
      <c r="B44" s="47" t="s">
        <v>428</v>
      </c>
      <c r="C44" s="95" t="str">
        <f>IFERROR(IF(D44=0,IF($K$6=1,VLOOKUP(B44,SOURCE!$D$1:$H$1359,3,0),IF($K$6=2,VLOOKUP(B44,SOURCE!$D$1:$H$1359,4,0),VLOOKUP(B44,SOURCE!$D$1:$H$1359,5,0))),IF(D44=1,VLOOKUP(B44,SOURCE!$D$1:$H$1359,3,0),IF(D44=2,VLOOKUP(B44,SOURCE!$D$1:$H$1359,4,0),VLOOKUP(B44,SOURCE!$D$1:$H$1359,5,0))))," ")</f>
        <v>Sh D K katiyar</v>
      </c>
      <c r="D44" s="98">
        <v>0</v>
      </c>
      <c r="F44" s="55">
        <f>IF(Table1[[#This Row],[STAFF CODE]]=0,0,IF(Table1[[#This Row],[STAFF CODE]]=$K$6,0,1))</f>
        <v>0</v>
      </c>
    </row>
    <row r="45" spans="1:8">
      <c r="A45" s="96" t="str" cm="1">
        <f t="array" ref="A45">IF(Table1[[#This Row],[TOPIC LIST]]="","",INT((ROW()-3)/WORK_PLACE!$I$2+1) &amp; INDEX({"I","II","III","IV","V","VI","VII","VIII","IX","X"}, MOD(ROW()-3, WORK_PLACE!$I$2)+1))</f>
        <v>8I</v>
      </c>
      <c r="B45" s="47" t="s">
        <v>429</v>
      </c>
      <c r="C45" s="95" t="str">
        <f>IFERROR(IF(D45=0,IF($K$6=1,VLOOKUP(B45,SOURCE!$D$1:$H$1359,3,0),IF($K$6=2,VLOOKUP(B45,SOURCE!$D$1:$H$1359,4,0),VLOOKUP(B45,SOURCE!$D$1:$H$1359,5,0))),IF(D45=1,VLOOKUP(B45,SOURCE!$D$1:$H$1359,3,0),IF(D45=2,VLOOKUP(B45,SOURCE!$D$1:$H$1359,4,0),VLOOKUP(B45,SOURCE!$D$1:$H$1359,5,0))))," ")</f>
        <v>Sh Abu Fahim</v>
      </c>
      <c r="D45" s="98">
        <v>2</v>
      </c>
      <c r="F45" s="55">
        <f>IF(Table1[[#This Row],[STAFF CODE]]=0,0,IF(Table1[[#This Row],[STAFF CODE]]=$K$6,0,1))</f>
        <v>0</v>
      </c>
    </row>
    <row r="46" spans="1:8">
      <c r="A46" s="96" t="str" cm="1">
        <f t="array" ref="A46">IF(Table1[[#This Row],[TOPIC LIST]]="","",INT((ROW()-3)/WORK_PLACE!$I$2+1) &amp; INDEX({"I","II","III","IV","V","VI","VII","VIII","IX","X"}, MOD(ROW()-3, WORK_PLACE!$I$2)+1))</f>
        <v>8II</v>
      </c>
      <c r="B46" s="47" t="s">
        <v>429</v>
      </c>
      <c r="C46" s="95" t="str">
        <f>IFERROR(IF(D46=0,IF($K$6=1,VLOOKUP(B46,SOURCE!$D$1:$H$1359,3,0),IF($K$6=2,VLOOKUP(B46,SOURCE!$D$1:$H$1359,4,0),VLOOKUP(B46,SOURCE!$D$1:$H$1359,5,0))),IF(D46=1,VLOOKUP(B46,SOURCE!$D$1:$H$1359,3,0),IF(D46=2,VLOOKUP(B46,SOURCE!$D$1:$H$1359,4,0),VLOOKUP(B46,SOURCE!$D$1:$H$1359,5,0))))," ")</f>
        <v>Sh Abu Fahim</v>
      </c>
      <c r="D46" s="98">
        <v>0</v>
      </c>
      <c r="F46" s="55">
        <f>IF(Table1[[#This Row],[STAFF CODE]]=0,0,IF(Table1[[#This Row],[STAFF CODE]]=$K$6,0,1))</f>
        <v>0</v>
      </c>
    </row>
    <row r="47" spans="1:8" ht="28.8">
      <c r="A47" s="96" t="str" cm="1">
        <f t="array" ref="A47">IF(Table1[[#This Row],[TOPIC LIST]]="","",INT((ROW()-3)/WORK_PLACE!$I$2+1) &amp; INDEX({"I","II","III","IV","V","VI","VII","VIII","IX","X"}, MOD(ROW()-3, WORK_PLACE!$I$2)+1))</f>
        <v>8III</v>
      </c>
      <c r="B47" s="47" t="s">
        <v>430</v>
      </c>
      <c r="C47" s="95" t="str">
        <f>IFERROR(IF(D47=0,IF($K$6=1,VLOOKUP(B47,SOURCE!$D$1:$H$1359,3,0),IF($K$6=2,VLOOKUP(B47,SOURCE!$D$1:$H$1359,4,0),VLOOKUP(B47,SOURCE!$D$1:$H$1359,5,0))),IF(D47=1,VLOOKUP(B47,SOURCE!$D$1:$H$1359,3,0),IF(D47=2,VLOOKUP(B47,SOURCE!$D$1:$H$1359,4,0),VLOOKUP(B47,SOURCE!$D$1:$H$1359,5,0))))," ")</f>
        <v>Sh Amit Kr Singh</v>
      </c>
      <c r="D47" s="98">
        <v>0</v>
      </c>
      <c r="F47" s="55">
        <f>IF(Table1[[#This Row],[STAFF CODE]]=0,0,IF(Table1[[#This Row],[STAFF CODE]]=$K$6,0,1))</f>
        <v>0</v>
      </c>
    </row>
    <row r="48" spans="1:8">
      <c r="A48" s="96" t="str" cm="1">
        <f t="array" ref="A48">IF(Table1[[#This Row],[TOPIC LIST]]="","",INT((ROW()-3)/WORK_PLACE!$I$2+1) &amp; INDEX({"I","II","III","IV","V","VI","VII","VIII","IX","X"}, MOD(ROW()-3, WORK_PLACE!$I$2)+1))</f>
        <v>8IV</v>
      </c>
      <c r="B48" s="47" t="s">
        <v>431</v>
      </c>
      <c r="C48" s="95" t="str">
        <f>IFERROR(IF(D48=0,IF($K$6=1,VLOOKUP(B48,SOURCE!$D$1:$H$1359,3,0),IF($K$6=2,VLOOKUP(B48,SOURCE!$D$1:$H$1359,4,0),VLOOKUP(B48,SOURCE!$D$1:$H$1359,5,0))),IF(D48=1,VLOOKUP(B48,SOURCE!$D$1:$H$1359,3,0),IF(D48=2,VLOOKUP(B48,SOURCE!$D$1:$H$1359,4,0),VLOOKUP(B48,SOURCE!$D$1:$H$1359,5,0))))," ")</f>
        <v>Sh D K katiyar</v>
      </c>
      <c r="D48" s="98">
        <v>0</v>
      </c>
      <c r="F48" s="55">
        <f>IF(Table1[[#This Row],[STAFF CODE]]=0,0,IF(Table1[[#This Row],[STAFF CODE]]=$K$6,0,1))</f>
        <v>0</v>
      </c>
    </row>
    <row r="49" spans="1:6">
      <c r="A49" s="96" t="str" cm="1">
        <f t="array" ref="A49">IF(Table1[[#This Row],[TOPIC LIST]]="","",INT((ROW()-3)/WORK_PLACE!$I$2+1) &amp; INDEX({"I","II","III","IV","V","VI","VII","VIII","IX","X"}, MOD(ROW()-3, WORK_PLACE!$I$2)+1))</f>
        <v>8V</v>
      </c>
      <c r="B49" s="47" t="s">
        <v>432</v>
      </c>
      <c r="C49" s="95" t="str">
        <f>IFERROR(IF(D49=0,IF($K$6=1,VLOOKUP(B49,SOURCE!$D$1:$H$1359,3,0),IF($K$6=2,VLOOKUP(B49,SOURCE!$D$1:$H$1359,4,0),VLOOKUP(B49,SOURCE!$D$1:$H$1359,5,0))),IF(D49=1,VLOOKUP(B49,SOURCE!$D$1:$H$1359,3,0),IF(D49=2,VLOOKUP(B49,SOURCE!$D$1:$H$1359,4,0),VLOOKUP(B49,SOURCE!$D$1:$H$1359,5,0))))," ")</f>
        <v>Sh Ashwani Gupta</v>
      </c>
      <c r="D49" s="98">
        <v>0</v>
      </c>
      <c r="F49" s="55">
        <f>IF(Table1[[#This Row],[STAFF CODE]]=0,0,IF(Table1[[#This Row],[STAFF CODE]]=$K$6,0,1))</f>
        <v>0</v>
      </c>
    </row>
    <row r="50" spans="1:6">
      <c r="A50" s="96" t="str" cm="1">
        <f t="array" ref="A50">IF(Table1[[#This Row],[TOPIC LIST]]="","",INT((ROW()-3)/WORK_PLACE!$I$2+1) &amp; INDEX({"I","II","III","IV","V","VI","VII","VIII","IX","X"}, MOD(ROW()-3, WORK_PLACE!$I$2)+1))</f>
        <v>8VI</v>
      </c>
      <c r="B50" s="47" t="s">
        <v>433</v>
      </c>
      <c r="C50" s="95" t="str">
        <f>IFERROR(IF(D50=0,IF($K$6=1,VLOOKUP(B50,SOURCE!$D$1:$H$1359,3,0),IF($K$6=2,VLOOKUP(B50,SOURCE!$D$1:$H$1359,4,0),VLOOKUP(B50,SOURCE!$D$1:$H$1359,5,0))),IF(D50=1,VLOOKUP(B50,SOURCE!$D$1:$H$1359,3,0),IF(D50=2,VLOOKUP(B50,SOURCE!$D$1:$H$1359,4,0),VLOOKUP(B50,SOURCE!$D$1:$H$1359,5,0))))," ")</f>
        <v>Sh R K Taneja</v>
      </c>
      <c r="D50" s="98">
        <v>0</v>
      </c>
      <c r="F50" s="55">
        <f>IF(Table1[[#This Row],[STAFF CODE]]=0,0,IF(Table1[[#This Row],[STAFF CODE]]=$K$6,0,1))</f>
        <v>0</v>
      </c>
    </row>
    <row r="51" spans="1:6">
      <c r="F51" s="55">
        <f>SUM(F3:F50)</f>
        <v>1</v>
      </c>
    </row>
  </sheetData>
  <sheetProtection algorithmName="SHA-512" hashValue="NqFDejdyuhV0zBs1RgYtftv8e7x6NsCYY9CZ5TY26TuR54D5nj8NpZ66bq2QwHlf91sqUKnjvI8Bncr2a0cXbA==" saltValue="HfFoELM6ba/stbC56FqU/g==" spinCount="100000" sheet="1" objects="1" scenarios="1"/>
  <mergeCells count="4">
    <mergeCell ref="M2:N6"/>
    <mergeCell ref="J1:K1"/>
    <mergeCell ref="M12:M13"/>
    <mergeCell ref="M8:N8"/>
  </mergeCells>
  <dataValidations count="1">
    <dataValidation type="list" allowBlank="1" showInputMessage="1" showErrorMessage="1" sqref="D3:D50" xr:uid="{C508F639-72AD-4948-8C33-0C36E15D82B3}">
      <formula1>$N$9:$N$12</formula1>
    </dataValidation>
  </dataValidation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Button2_Click">
                <anchor>
                  <from>
                    <xdr:col>5</xdr:col>
                    <xdr:colOff>601980</xdr:colOff>
                    <xdr:row>1</xdr:row>
                    <xdr:rowOff>167640</xdr:rowOff>
                  </from>
                  <to>
                    <xdr:col>8</xdr:col>
                    <xdr:colOff>137160</xdr:colOff>
                    <xdr:row>2</xdr:row>
                    <xdr:rowOff>259080</xdr:rowOff>
                  </to>
                </anchor>
              </controlPr>
            </control>
          </mc:Choice>
        </mc:AlternateContent>
        <mc:AlternateContent xmlns:mc="http://schemas.openxmlformats.org/markup-compatibility/2006">
          <mc:Choice Requires="x14">
            <control shapeId="1030" r:id="rId6" name="Option Button 6">
              <controlPr defaultSize="0" autoFill="0" autoLine="0" autoPict="0">
                <anchor moveWithCells="1">
                  <from>
                    <xdr:col>12</xdr:col>
                    <xdr:colOff>38100</xdr:colOff>
                    <xdr:row>0</xdr:row>
                    <xdr:rowOff>1493520</xdr:rowOff>
                  </from>
                  <to>
                    <xdr:col>14</xdr:col>
                    <xdr:colOff>312420</xdr:colOff>
                    <xdr:row>2</xdr:row>
                    <xdr:rowOff>243840</xdr:rowOff>
                  </to>
                </anchor>
              </controlPr>
            </control>
          </mc:Choice>
        </mc:AlternateContent>
        <mc:AlternateContent xmlns:mc="http://schemas.openxmlformats.org/markup-compatibility/2006">
          <mc:Choice Requires="x14">
            <control shapeId="1031" r:id="rId7" name="Option Button 7">
              <controlPr defaultSize="0" autoFill="0" autoLine="0" autoPict="0">
                <anchor moveWithCells="1">
                  <from>
                    <xdr:col>12</xdr:col>
                    <xdr:colOff>45720</xdr:colOff>
                    <xdr:row>2</xdr:row>
                    <xdr:rowOff>137160</xdr:rowOff>
                  </from>
                  <to>
                    <xdr:col>14</xdr:col>
                    <xdr:colOff>91440</xdr:colOff>
                    <xdr:row>3</xdr:row>
                    <xdr:rowOff>60960</xdr:rowOff>
                  </to>
                </anchor>
              </controlPr>
            </control>
          </mc:Choice>
        </mc:AlternateContent>
        <mc:AlternateContent xmlns:mc="http://schemas.openxmlformats.org/markup-compatibility/2006">
          <mc:Choice Requires="x14">
            <control shapeId="1032" r:id="rId8" name="Option Button 8">
              <controlPr defaultSize="0" autoFill="0" autoLine="0" autoPict="0">
                <anchor moveWithCells="1">
                  <from>
                    <xdr:col>12</xdr:col>
                    <xdr:colOff>68580</xdr:colOff>
                    <xdr:row>4</xdr:row>
                    <xdr:rowOff>106680</xdr:rowOff>
                  </from>
                  <to>
                    <xdr:col>14</xdr:col>
                    <xdr:colOff>198120</xdr:colOff>
                    <xdr:row>5</xdr:row>
                    <xdr:rowOff>30480</xdr:rowOff>
                  </to>
                </anchor>
              </controlPr>
            </control>
          </mc:Choice>
        </mc:AlternateContent>
        <mc:AlternateContent xmlns:mc="http://schemas.openxmlformats.org/markup-compatibility/2006">
          <mc:Choice Requires="x14">
            <control shapeId="1033" r:id="rId9" name="Button 9">
              <controlPr defaultSize="0" print="0" autoFill="0" autoPict="0" macro="[0]!Button9_Click">
                <anchor>
                  <from>
                    <xdr:col>5</xdr:col>
                    <xdr:colOff>601980</xdr:colOff>
                    <xdr:row>3</xdr:row>
                    <xdr:rowOff>91440</xdr:rowOff>
                  </from>
                  <to>
                    <xdr:col>8</xdr:col>
                    <xdr:colOff>137160</xdr:colOff>
                    <xdr:row>4</xdr:row>
                    <xdr:rowOff>182880</xdr:rowOff>
                  </to>
                </anchor>
              </controlPr>
            </control>
          </mc:Choice>
        </mc:AlternateContent>
        <mc:AlternateContent xmlns:mc="http://schemas.openxmlformats.org/markup-compatibility/2006">
          <mc:Choice Requires="x14">
            <control shapeId="1039" r:id="rId10" name="Button 15">
              <controlPr defaultSize="0" print="0" autoFill="0" autoPict="0" macro="[0]!SCHEDULE86_Button2_Click">
                <anchor>
                  <from>
                    <xdr:col>8</xdr:col>
                    <xdr:colOff>1150620</xdr:colOff>
                    <xdr:row>1</xdr:row>
                    <xdr:rowOff>160020</xdr:rowOff>
                  </from>
                  <to>
                    <xdr:col>10</xdr:col>
                    <xdr:colOff>472440</xdr:colOff>
                    <xdr:row>2</xdr:row>
                    <xdr:rowOff>251460</xdr:rowOff>
                  </to>
                </anchor>
              </controlPr>
            </control>
          </mc:Choice>
        </mc:AlternateContent>
        <mc:AlternateContent xmlns:mc="http://schemas.openxmlformats.org/markup-compatibility/2006">
          <mc:Choice Requires="x14">
            <control shapeId="1603" r:id="rId11" name="Button 579">
              <controlPr defaultSize="0" print="0" autoFill="0" autoPict="0" macro="[0]!Button579_Click">
                <anchor>
                  <from>
                    <xdr:col>8</xdr:col>
                    <xdr:colOff>1158240</xdr:colOff>
                    <xdr:row>3</xdr:row>
                    <xdr:rowOff>53340</xdr:rowOff>
                  </from>
                  <to>
                    <xdr:col>10</xdr:col>
                    <xdr:colOff>480060</xdr:colOff>
                    <xdr:row>4</xdr:row>
                    <xdr:rowOff>144780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36A4EA1B-7A36-41C5-A18E-3945227308EA}">
          <x14:formula1>
            <xm:f>WORK_PLACE!$C$3:$C$51</xm:f>
          </x14:formula1>
          <xm:sqref>B3:B50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9AA00-9C6A-4030-9087-F986D46F8605}">
  <sheetPr codeName="Sheet3"/>
  <dimension ref="A1:P51"/>
  <sheetViews>
    <sheetView showGridLines="0" tabSelected="1" workbookViewId="0">
      <selection activeCell="I5" sqref="I5"/>
    </sheetView>
  </sheetViews>
  <sheetFormatPr defaultRowHeight="14.4"/>
  <cols>
    <col min="1" max="1" width="24.6640625" style="43" customWidth="1"/>
    <col min="2" max="2" width="20.33203125" style="43" customWidth="1"/>
    <col min="3" max="3" width="56.5546875" style="43" customWidth="1"/>
    <col min="4" max="4" width="15.6640625" style="43" bestFit="1" customWidth="1"/>
    <col min="5" max="8" width="8.88671875" style="43"/>
    <col min="9" max="9" width="20.88671875" style="43" bestFit="1" customWidth="1"/>
    <col min="10" max="10" width="8.88671875" style="43"/>
    <col min="11" max="11" width="11.44140625" style="43" customWidth="1"/>
    <col min="12" max="12" width="8.88671875" style="43"/>
    <col min="13" max="13" width="9.6640625" style="43" customWidth="1"/>
    <col min="14" max="14" width="6.33203125" style="43" customWidth="1"/>
    <col min="15" max="15" width="11.5546875" style="43" customWidth="1"/>
    <col min="16" max="16384" width="8.88671875" style="43"/>
  </cols>
  <sheetData>
    <row r="1" spans="1:16" s="45" customFormat="1" ht="110.4" customHeight="1">
      <c r="A1" s="44"/>
      <c r="B1" s="44"/>
      <c r="C1" s="44"/>
      <c r="I1" s="45" t="s">
        <v>4</v>
      </c>
      <c r="J1" s="166" t="s">
        <v>87</v>
      </c>
      <c r="K1" s="166"/>
    </row>
    <row r="2" spans="1:16" ht="14.4" customHeight="1">
      <c r="A2" s="93" t="s">
        <v>412</v>
      </c>
      <c r="B2" s="47"/>
      <c r="C2" s="46" t="s">
        <v>410</v>
      </c>
      <c r="D2" s="165" t="s">
        <v>413</v>
      </c>
      <c r="E2" s="165"/>
      <c r="F2" s="165"/>
      <c r="G2" s="165"/>
      <c r="I2" s="48">
        <v>6</v>
      </c>
      <c r="J2" s="126"/>
      <c r="K2" s="127">
        <v>2</v>
      </c>
      <c r="M2" s="56"/>
      <c r="N2" s="56"/>
    </row>
    <row r="3" spans="1:16" ht="28.8">
      <c r="A3" s="46"/>
      <c r="B3" s="47"/>
      <c r="C3" s="47" t="s">
        <v>8</v>
      </c>
      <c r="F3" s="55"/>
      <c r="G3" s="50"/>
      <c r="K3" s="43" t="s">
        <v>447</v>
      </c>
      <c r="M3" s="56"/>
      <c r="N3" s="56"/>
      <c r="P3" s="50"/>
    </row>
    <row r="4" spans="1:16">
      <c r="A4" s="46"/>
      <c r="B4" s="47"/>
      <c r="C4" s="47" t="s">
        <v>10</v>
      </c>
      <c r="F4" s="55"/>
      <c r="I4" s="57" t="s">
        <v>353</v>
      </c>
      <c r="K4" s="49" t="s">
        <v>415</v>
      </c>
      <c r="M4" s="56"/>
      <c r="N4" s="56"/>
      <c r="P4" s="50"/>
    </row>
    <row r="5" spans="1:16" ht="28.8">
      <c r="A5" s="46"/>
      <c r="B5" s="47"/>
      <c r="C5" s="47" t="s">
        <v>11</v>
      </c>
      <c r="F5" s="55"/>
      <c r="I5" s="51">
        <v>5</v>
      </c>
      <c r="M5" s="56"/>
      <c r="N5" s="56"/>
      <c r="O5" s="50"/>
      <c r="P5" s="50"/>
    </row>
    <row r="6" spans="1:16" ht="24" customHeight="1">
      <c r="A6" s="44" t="s">
        <v>411</v>
      </c>
      <c r="B6" s="47"/>
      <c r="C6" s="47" t="s">
        <v>13</v>
      </c>
      <c r="D6" s="136" t="s">
        <v>414</v>
      </c>
      <c r="E6" s="136"/>
      <c r="F6" s="136"/>
      <c r="G6" s="136"/>
      <c r="K6" s="52"/>
      <c r="M6" s="56"/>
      <c r="N6" s="56"/>
      <c r="O6" s="53"/>
      <c r="P6" s="50"/>
    </row>
    <row r="7" spans="1:16" ht="43.2">
      <c r="A7" s="46"/>
      <c r="B7" s="47"/>
      <c r="C7" s="47" t="s">
        <v>15</v>
      </c>
      <c r="F7" s="55"/>
      <c r="M7" s="54"/>
      <c r="N7" s="54"/>
      <c r="O7" s="53"/>
    </row>
    <row r="8" spans="1:16" ht="28.8">
      <c r="A8" s="46"/>
      <c r="B8" s="47"/>
      <c r="C8" s="47" t="s">
        <v>17</v>
      </c>
      <c r="F8" s="55"/>
      <c r="L8" s="44"/>
      <c r="M8" s="136"/>
      <c r="N8" s="136"/>
    </row>
    <row r="9" spans="1:16">
      <c r="A9" s="46"/>
      <c r="B9" s="47"/>
      <c r="C9" s="47" t="s">
        <v>19</v>
      </c>
      <c r="F9" s="55"/>
      <c r="K9" s="89"/>
      <c r="L9" s="89">
        <v>4</v>
      </c>
    </row>
    <row r="10" spans="1:16">
      <c r="A10" s="46"/>
      <c r="B10" s="47"/>
      <c r="C10" s="47" t="s">
        <v>21</v>
      </c>
      <c r="F10" s="55"/>
      <c r="K10" s="89">
        <v>5</v>
      </c>
      <c r="L10" s="89">
        <v>6</v>
      </c>
    </row>
    <row r="11" spans="1:16">
      <c r="A11" s="46"/>
      <c r="B11" s="47"/>
      <c r="C11" s="47" t="s">
        <v>22</v>
      </c>
      <c r="F11" s="55"/>
      <c r="K11" s="89"/>
      <c r="L11" s="89">
        <v>8</v>
      </c>
    </row>
    <row r="12" spans="1:16">
      <c r="A12" s="46"/>
      <c r="B12" s="47"/>
      <c r="C12" s="47" t="s">
        <v>23</v>
      </c>
      <c r="F12" s="55"/>
      <c r="M12" s="165"/>
    </row>
    <row r="13" spans="1:16">
      <c r="A13" s="46"/>
      <c r="B13" s="47"/>
      <c r="C13" s="47" t="s">
        <v>24</v>
      </c>
      <c r="F13" s="55"/>
      <c r="M13" s="165"/>
    </row>
    <row r="14" spans="1:16">
      <c r="A14" s="46"/>
      <c r="B14" s="47"/>
      <c r="C14" s="47" t="s">
        <v>25</v>
      </c>
      <c r="F14" s="55"/>
    </row>
    <row r="15" spans="1:16">
      <c r="A15" s="46"/>
      <c r="B15" s="47"/>
      <c r="C15" s="47" t="s">
        <v>26</v>
      </c>
      <c r="F15" s="55"/>
    </row>
    <row r="16" spans="1:16">
      <c r="A16" s="46"/>
      <c r="B16" s="47"/>
      <c r="C16" s="47" t="s">
        <v>27</v>
      </c>
      <c r="F16" s="55"/>
    </row>
    <row r="17" spans="1:6">
      <c r="A17" s="46"/>
      <c r="B17" s="47"/>
      <c r="C17" s="47" t="s">
        <v>28</v>
      </c>
      <c r="F17" s="55"/>
    </row>
    <row r="18" spans="1:6">
      <c r="A18" s="46"/>
      <c r="B18" s="47"/>
      <c r="C18" s="47" t="s">
        <v>29</v>
      </c>
      <c r="F18" s="55"/>
    </row>
    <row r="19" spans="1:6">
      <c r="A19" s="46"/>
      <c r="B19" s="47"/>
      <c r="C19" s="47" t="s">
        <v>30</v>
      </c>
      <c r="F19" s="55"/>
    </row>
    <row r="20" spans="1:6">
      <c r="A20" s="46"/>
      <c r="B20" s="47"/>
      <c r="C20" s="47" t="s">
        <v>30</v>
      </c>
      <c r="F20" s="55"/>
    </row>
    <row r="21" spans="1:6">
      <c r="A21" s="46"/>
      <c r="B21" s="47"/>
      <c r="C21" s="47" t="s">
        <v>31</v>
      </c>
      <c r="F21" s="55"/>
    </row>
    <row r="22" spans="1:6">
      <c r="A22" s="46"/>
      <c r="B22" s="47"/>
      <c r="C22" s="47" t="s">
        <v>31</v>
      </c>
      <c r="F22" s="55"/>
    </row>
    <row r="23" spans="1:6">
      <c r="A23" s="46"/>
      <c r="B23" s="47"/>
      <c r="C23" s="47" t="s">
        <v>31</v>
      </c>
      <c r="F23" s="55"/>
    </row>
    <row r="24" spans="1:6">
      <c r="A24" s="46"/>
      <c r="B24" s="47"/>
      <c r="C24" s="47" t="s">
        <v>32</v>
      </c>
      <c r="F24" s="55"/>
    </row>
    <row r="25" spans="1:6">
      <c r="A25" s="46"/>
      <c r="B25" s="47"/>
      <c r="C25" s="47" t="s">
        <v>32</v>
      </c>
      <c r="F25" s="55"/>
    </row>
    <row r="26" spans="1:6">
      <c r="A26" s="46"/>
      <c r="B26" s="47"/>
      <c r="C26" s="47" t="s">
        <v>33</v>
      </c>
      <c r="F26" s="55"/>
    </row>
    <row r="27" spans="1:6" ht="28.8">
      <c r="A27" s="46"/>
      <c r="B27" s="47"/>
      <c r="C27" s="47" t="s">
        <v>34</v>
      </c>
      <c r="F27" s="55"/>
    </row>
    <row r="28" spans="1:6">
      <c r="A28" s="46"/>
      <c r="B28" s="47"/>
      <c r="C28" s="47" t="s">
        <v>36</v>
      </c>
      <c r="F28" s="55"/>
    </row>
    <row r="29" spans="1:6">
      <c r="A29" s="46"/>
      <c r="B29" s="47"/>
      <c r="C29" s="47" t="s">
        <v>37</v>
      </c>
      <c r="F29" s="55"/>
    </row>
    <row r="30" spans="1:6" ht="28.8">
      <c r="A30" s="46"/>
      <c r="B30" s="47"/>
      <c r="C30" s="47" t="s">
        <v>38</v>
      </c>
      <c r="F30" s="55"/>
    </row>
    <row r="31" spans="1:6" ht="28.8">
      <c r="A31" s="46"/>
      <c r="B31" s="47"/>
      <c r="C31" s="47" t="s">
        <v>39</v>
      </c>
      <c r="F31" s="55"/>
    </row>
    <row r="32" spans="1:6" ht="28.8">
      <c r="A32" s="46"/>
      <c r="B32" s="47"/>
      <c r="C32" s="47" t="s">
        <v>39</v>
      </c>
      <c r="F32" s="55"/>
    </row>
    <row r="33" spans="1:8" ht="28.8">
      <c r="A33" s="46"/>
      <c r="B33" s="47"/>
      <c r="C33" s="47" t="s">
        <v>40</v>
      </c>
      <c r="F33" s="55"/>
    </row>
    <row r="34" spans="1:8">
      <c r="A34" s="46"/>
      <c r="B34" s="47"/>
      <c r="C34" s="47" t="s">
        <v>41</v>
      </c>
      <c r="F34" s="55"/>
    </row>
    <row r="35" spans="1:8">
      <c r="A35" s="46"/>
      <c r="B35" s="47"/>
      <c r="C35" s="47" t="s">
        <v>43</v>
      </c>
      <c r="F35" s="55"/>
    </row>
    <row r="36" spans="1:8" ht="28.8">
      <c r="A36" s="46"/>
      <c r="B36" s="47"/>
      <c r="C36" s="47" t="s">
        <v>44</v>
      </c>
      <c r="F36" s="55"/>
    </row>
    <row r="37" spans="1:8">
      <c r="A37" s="46"/>
      <c r="B37" s="47"/>
      <c r="C37" s="47" t="s">
        <v>55</v>
      </c>
      <c r="F37" s="55"/>
    </row>
    <row r="38" spans="1:8">
      <c r="A38" s="46"/>
      <c r="B38" s="47"/>
      <c r="C38" s="47" t="s">
        <v>55</v>
      </c>
      <c r="F38" s="55"/>
    </row>
    <row r="39" spans="1:8">
      <c r="A39" s="46"/>
      <c r="B39" s="47"/>
      <c r="C39" s="47" t="s">
        <v>426</v>
      </c>
      <c r="F39" s="55"/>
    </row>
    <row r="40" spans="1:8">
      <c r="A40" s="46"/>
      <c r="B40" s="47"/>
      <c r="C40" s="47" t="s">
        <v>426</v>
      </c>
      <c r="F40" s="55"/>
    </row>
    <row r="41" spans="1:8">
      <c r="A41" s="46"/>
      <c r="B41" s="47"/>
      <c r="C41" s="47" t="s">
        <v>427</v>
      </c>
      <c r="F41" s="55"/>
    </row>
    <row r="42" spans="1:8">
      <c r="A42" s="46"/>
      <c r="B42" s="47"/>
      <c r="C42" s="47" t="s">
        <v>427</v>
      </c>
      <c r="F42" s="55"/>
      <c r="H42" s="43" t="s">
        <v>354</v>
      </c>
    </row>
    <row r="43" spans="1:8">
      <c r="A43" s="46"/>
      <c r="B43" s="47"/>
      <c r="C43" s="47" t="s">
        <v>49</v>
      </c>
      <c r="F43" s="55"/>
    </row>
    <row r="44" spans="1:8">
      <c r="A44" s="46"/>
      <c r="B44" s="47"/>
      <c r="C44" s="47" t="s">
        <v>428</v>
      </c>
      <c r="F44" s="55"/>
    </row>
    <row r="45" spans="1:8">
      <c r="A45" s="46"/>
      <c r="B45" s="47"/>
      <c r="C45" s="47" t="s">
        <v>429</v>
      </c>
      <c r="F45" s="55"/>
    </row>
    <row r="46" spans="1:8">
      <c r="A46" s="46"/>
      <c r="B46" s="47"/>
      <c r="C46" s="47" t="s">
        <v>429</v>
      </c>
      <c r="F46" s="55"/>
    </row>
    <row r="47" spans="1:8" ht="28.8">
      <c r="A47" s="46"/>
      <c r="B47" s="47"/>
      <c r="C47" s="47" t="s">
        <v>430</v>
      </c>
      <c r="F47" s="55"/>
    </row>
    <row r="48" spans="1:8">
      <c r="A48" s="46"/>
      <c r="B48" s="47"/>
      <c r="C48" s="47" t="s">
        <v>431</v>
      </c>
      <c r="F48" s="55"/>
    </row>
    <row r="49" spans="1:6">
      <c r="A49" s="46"/>
      <c r="B49" s="47"/>
      <c r="C49" s="47" t="s">
        <v>432</v>
      </c>
      <c r="F49" s="55"/>
    </row>
    <row r="50" spans="1:6">
      <c r="A50" s="46"/>
      <c r="B50" s="47"/>
      <c r="C50" s="47" t="s">
        <v>433</v>
      </c>
      <c r="F50" s="55"/>
    </row>
    <row r="51" spans="1:6" ht="28.8">
      <c r="C51" s="47" t="s">
        <v>69</v>
      </c>
      <c r="F51" s="55"/>
    </row>
  </sheetData>
  <mergeCells count="5">
    <mergeCell ref="D2:G2"/>
    <mergeCell ref="D6:G6"/>
    <mergeCell ref="J1:K1"/>
    <mergeCell ref="M8:N8"/>
    <mergeCell ref="M12:M13"/>
  </mergeCells>
  <dataValidations count="2">
    <dataValidation type="list" allowBlank="1" showInputMessage="1" showErrorMessage="1" sqref="I5" xr:uid="{397A0847-5E07-4D83-A876-12653A5B1554}">
      <formula1>$K$10:$L$10</formula1>
    </dataValidation>
    <dataValidation type="list" allowBlank="1" showInputMessage="1" showErrorMessage="1" sqref="I2" xr:uid="{D1C2974D-5AEC-499F-A789-00C0AA5DE865}">
      <formula1>$L$9:$L$11</formula1>
    </dataValidation>
  </dataValidation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35846" r:id="rId5" name="Button 6">
              <controlPr defaultSize="0" print="0" autoFill="0" autoPict="0" macro="[0]!Button1_Click">
                <anchor moveWithCells="1">
                  <from>
                    <xdr:col>3</xdr:col>
                    <xdr:colOff>830580</xdr:colOff>
                    <xdr:row>2</xdr:row>
                    <xdr:rowOff>7620</xdr:rowOff>
                  </from>
                  <to>
                    <xdr:col>5</xdr:col>
                    <xdr:colOff>426720</xdr:colOff>
                    <xdr:row>2</xdr:row>
                    <xdr:rowOff>281940</xdr:rowOff>
                  </to>
                </anchor>
              </controlPr>
            </control>
          </mc:Choice>
        </mc:AlternateContent>
        <mc:AlternateContent xmlns:mc="http://schemas.openxmlformats.org/markup-compatibility/2006">
          <mc:Choice Requires="x14">
            <control shapeId="35847" r:id="rId6" name="Button 7">
              <controlPr defaultSize="0" print="0" autoFill="0" autoPict="0" macro="[0]!SCHEDULE86_Button2_Click">
                <anchor moveWithCells="1">
                  <from>
                    <xdr:col>0</xdr:col>
                    <xdr:colOff>68580</xdr:colOff>
                    <xdr:row>6</xdr:row>
                    <xdr:rowOff>30480</xdr:rowOff>
                  </from>
                  <to>
                    <xdr:col>0</xdr:col>
                    <xdr:colOff>1348740</xdr:colOff>
                    <xdr:row>6</xdr:row>
                    <xdr:rowOff>304800</xdr:rowOff>
                  </to>
                </anchor>
              </controlPr>
            </control>
          </mc:Choice>
        </mc:AlternateContent>
        <mc:AlternateContent xmlns:mc="http://schemas.openxmlformats.org/markup-compatibility/2006">
          <mc:Choice Requires="x14">
            <control shapeId="35849" r:id="rId7" name="Button 9">
              <controlPr defaultSize="0" print="0" autoFill="0" autoPict="0" macro="[0]!Button389_Click">
                <anchor moveWithCells="1">
                  <from>
                    <xdr:col>0</xdr:col>
                    <xdr:colOff>30480</xdr:colOff>
                    <xdr:row>2</xdr:row>
                    <xdr:rowOff>53340</xdr:rowOff>
                  </from>
                  <to>
                    <xdr:col>0</xdr:col>
                    <xdr:colOff>1310640</xdr:colOff>
                    <xdr:row>2</xdr:row>
                    <xdr:rowOff>327660</xdr:rowOff>
                  </to>
                </anchor>
              </controlPr>
            </control>
          </mc:Choice>
        </mc:AlternateContent>
        <mc:AlternateContent xmlns:mc="http://schemas.openxmlformats.org/markup-compatibility/2006">
          <mc:Choice Requires="x14">
            <control shapeId="35852" r:id="rId8" name="Button 12">
              <controlPr defaultSize="0" print="0" autoFill="0" autoPict="0" macro="[0]!Button12_Click">
                <anchor moveWithCells="1">
                  <from>
                    <xdr:col>3</xdr:col>
                    <xdr:colOff>777240</xdr:colOff>
                    <xdr:row>6</xdr:row>
                    <xdr:rowOff>15240</xdr:rowOff>
                  </from>
                  <to>
                    <xdr:col>5</xdr:col>
                    <xdr:colOff>373380</xdr:colOff>
                    <xdr:row>6</xdr:row>
                    <xdr:rowOff>289560</xdr:rowOff>
                  </to>
                </anchor>
              </controlPr>
            </control>
          </mc:Choice>
        </mc:AlternateContent>
        <mc:AlternateContent xmlns:mc="http://schemas.openxmlformats.org/markup-compatibility/2006">
          <mc:Choice Requires="x14">
            <control shapeId="35853" r:id="rId9" name="Button 13">
              <controlPr defaultSize="0" print="0" autoFill="0" autoPict="0" macro="[0]!Button13_Click">
                <anchor moveWithCells="1">
                  <from>
                    <xdr:col>10</xdr:col>
                    <xdr:colOff>99060</xdr:colOff>
                    <xdr:row>4</xdr:row>
                    <xdr:rowOff>38100</xdr:rowOff>
                  </from>
                  <to>
                    <xdr:col>12</xdr:col>
                    <xdr:colOff>68580</xdr:colOff>
                    <xdr:row>4</xdr:row>
                    <xdr:rowOff>312420</xdr:rowOff>
                  </to>
                </anchor>
              </controlPr>
            </control>
          </mc:Choice>
        </mc:AlternateContent>
      </controls>
    </mc:Choice>
  </mc:AlternateContent>
  <tableParts count="1">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r:uid="{DAA55003-0F30-48D2-9368-F047AF6D8F93}">
          <x14:formula1>
            <xm:f>SOURCE!D2:D1000</xm:f>
          </x14:formula1>
          <xm:sqref>C3:C51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8EA93-D196-40B8-861A-AFFD2B767380}">
  <sheetPr codeName="Sheet1"/>
  <dimension ref="A1:H1363"/>
  <sheetViews>
    <sheetView showGridLines="0" workbookViewId="0">
      <selection activeCell="D1" sqref="D1"/>
    </sheetView>
  </sheetViews>
  <sheetFormatPr defaultRowHeight="14.4"/>
  <cols>
    <col min="1" max="2" width="5.33203125" customWidth="1"/>
    <col min="3" max="3" width="11.33203125" bestFit="1" customWidth="1"/>
    <col min="4" max="4" width="28.44140625" customWidth="1"/>
    <col min="5" max="5" width="19.77734375" customWidth="1"/>
    <col min="6" max="6" width="20" customWidth="1"/>
    <col min="7" max="7" width="19.77734375" customWidth="1"/>
    <col min="8" max="8" width="20.44140625" bestFit="1" customWidth="1"/>
  </cols>
  <sheetData>
    <row r="1" spans="1:8" ht="44.25" customHeight="1">
      <c r="A1" s="1" t="s">
        <v>89</v>
      </c>
      <c r="B1" s="2" t="s">
        <v>5</v>
      </c>
      <c r="C1" s="3" t="s">
        <v>90</v>
      </c>
      <c r="D1" s="42" t="s">
        <v>91</v>
      </c>
      <c r="E1" s="4" t="s">
        <v>92</v>
      </c>
      <c r="F1" s="32" t="s">
        <v>93</v>
      </c>
      <c r="G1" s="32" t="s">
        <v>94</v>
      </c>
      <c r="H1" s="32" t="s">
        <v>95</v>
      </c>
    </row>
    <row r="2" spans="1:8" ht="18.75" customHeight="1">
      <c r="A2" s="6">
        <v>1</v>
      </c>
      <c r="B2" s="191" t="s">
        <v>6</v>
      </c>
      <c r="C2" s="7" t="s">
        <v>96</v>
      </c>
      <c r="D2" s="13" t="s">
        <v>97</v>
      </c>
      <c r="E2" s="6">
        <v>1</v>
      </c>
      <c r="F2" s="32" t="s">
        <v>98</v>
      </c>
      <c r="G2" s="32" t="s">
        <v>98</v>
      </c>
      <c r="H2" s="32" t="s">
        <v>98</v>
      </c>
    </row>
    <row r="3" spans="1:8" ht="24" customHeight="1">
      <c r="A3" s="9">
        <v>2</v>
      </c>
      <c r="B3" s="192"/>
      <c r="C3" s="7" t="s">
        <v>99</v>
      </c>
      <c r="D3" s="13" t="s">
        <v>100</v>
      </c>
      <c r="E3" s="9">
        <v>1</v>
      </c>
      <c r="F3" s="32" t="s">
        <v>98</v>
      </c>
      <c r="G3" s="32" t="s">
        <v>98</v>
      </c>
      <c r="H3" s="32" t="s">
        <v>98</v>
      </c>
    </row>
    <row r="4" spans="1:8" ht="24" customHeight="1">
      <c r="A4" s="9">
        <v>3</v>
      </c>
      <c r="B4" s="192"/>
      <c r="C4" s="10" t="s">
        <v>101</v>
      </c>
      <c r="D4" s="41" t="s">
        <v>102</v>
      </c>
      <c r="E4" s="9">
        <v>1</v>
      </c>
      <c r="F4" s="32" t="s">
        <v>103</v>
      </c>
      <c r="G4" s="32" t="s">
        <v>103</v>
      </c>
      <c r="H4" s="32" t="s">
        <v>103</v>
      </c>
    </row>
    <row r="5" spans="1:8" ht="12" customHeight="1">
      <c r="A5" s="9">
        <v>4</v>
      </c>
      <c r="B5" s="192"/>
      <c r="C5" s="7" t="s">
        <v>104</v>
      </c>
      <c r="D5" s="13" t="s">
        <v>105</v>
      </c>
      <c r="E5" s="9">
        <v>1</v>
      </c>
      <c r="F5" s="32" t="s">
        <v>106</v>
      </c>
      <c r="G5" s="32" t="s">
        <v>106</v>
      </c>
      <c r="H5" s="32" t="s">
        <v>106</v>
      </c>
    </row>
    <row r="6" spans="1:8" ht="44.25" customHeight="1">
      <c r="A6" s="6">
        <v>5</v>
      </c>
      <c r="B6" s="192"/>
      <c r="C6" s="7" t="s">
        <v>107</v>
      </c>
      <c r="D6" s="13" t="s">
        <v>108</v>
      </c>
      <c r="E6" s="6">
        <v>1</v>
      </c>
      <c r="F6" s="32" t="s">
        <v>109</v>
      </c>
      <c r="G6" s="32" t="s">
        <v>109</v>
      </c>
      <c r="H6" s="32" t="s">
        <v>109</v>
      </c>
    </row>
    <row r="7" spans="1:8" ht="24" customHeight="1">
      <c r="A7" s="9">
        <v>6</v>
      </c>
      <c r="B7" s="193"/>
      <c r="C7" s="7" t="s">
        <v>110</v>
      </c>
      <c r="D7" s="41" t="s">
        <v>111</v>
      </c>
      <c r="E7" s="9">
        <v>1</v>
      </c>
      <c r="F7" s="32" t="s">
        <v>112</v>
      </c>
      <c r="G7" s="32" t="s">
        <v>112</v>
      </c>
      <c r="H7" s="32" t="s">
        <v>112</v>
      </c>
    </row>
    <row r="8" spans="1:8" ht="24" customHeight="1">
      <c r="A8" s="9">
        <v>1</v>
      </c>
      <c r="B8" s="230" t="s">
        <v>7</v>
      </c>
      <c r="C8" s="212" t="s">
        <v>113</v>
      </c>
      <c r="D8" s="13" t="s">
        <v>114</v>
      </c>
      <c r="E8" s="9">
        <v>1</v>
      </c>
      <c r="F8" s="32" t="s">
        <v>115</v>
      </c>
      <c r="G8" s="32" t="s">
        <v>115</v>
      </c>
      <c r="H8" s="32" t="s">
        <v>115</v>
      </c>
    </row>
    <row r="9" spans="1:8" ht="12" customHeight="1">
      <c r="A9" s="9">
        <v>2</v>
      </c>
      <c r="B9" s="231"/>
      <c r="C9" s="213"/>
      <c r="D9" s="13" t="s">
        <v>116</v>
      </c>
      <c r="E9" s="9">
        <v>1</v>
      </c>
      <c r="F9" s="32" t="s">
        <v>115</v>
      </c>
      <c r="G9" s="32" t="s">
        <v>115</v>
      </c>
      <c r="H9" s="32" t="s">
        <v>115</v>
      </c>
    </row>
    <row r="10" spans="1:8" ht="12" customHeight="1">
      <c r="A10" s="9">
        <v>3</v>
      </c>
      <c r="B10" s="231"/>
      <c r="C10" s="213"/>
      <c r="D10" s="13" t="s">
        <v>117</v>
      </c>
      <c r="E10" s="9">
        <v>1</v>
      </c>
      <c r="F10" s="32" t="s">
        <v>115</v>
      </c>
      <c r="G10" s="32" t="s">
        <v>115</v>
      </c>
      <c r="H10" s="32" t="s">
        <v>115</v>
      </c>
    </row>
    <row r="11" spans="1:8" ht="12" customHeight="1">
      <c r="A11" s="9">
        <v>4</v>
      </c>
      <c r="B11" s="231"/>
      <c r="C11" s="213"/>
      <c r="D11" s="13" t="s">
        <v>118</v>
      </c>
      <c r="E11" s="9">
        <v>1</v>
      </c>
      <c r="F11" s="32" t="s">
        <v>115</v>
      </c>
      <c r="G11" s="32" t="s">
        <v>115</v>
      </c>
      <c r="H11" s="32" t="s">
        <v>115</v>
      </c>
    </row>
    <row r="12" spans="1:8" ht="12" customHeight="1">
      <c r="A12" s="9">
        <v>5</v>
      </c>
      <c r="B12" s="231"/>
      <c r="C12" s="213"/>
      <c r="D12" s="13" t="s">
        <v>119</v>
      </c>
      <c r="E12" s="9">
        <v>1</v>
      </c>
      <c r="F12" s="32" t="s">
        <v>115</v>
      </c>
      <c r="G12" s="32" t="s">
        <v>115</v>
      </c>
      <c r="H12" s="32" t="s">
        <v>115</v>
      </c>
    </row>
    <row r="13" spans="1:8" ht="12" customHeight="1">
      <c r="A13" s="9">
        <v>6</v>
      </c>
      <c r="B13" s="231"/>
      <c r="C13" s="213"/>
      <c r="D13" s="13" t="s">
        <v>120</v>
      </c>
      <c r="E13" s="9">
        <v>1</v>
      </c>
      <c r="F13" s="32" t="s">
        <v>115</v>
      </c>
      <c r="G13" s="32" t="s">
        <v>115</v>
      </c>
      <c r="H13" s="32" t="s">
        <v>115</v>
      </c>
    </row>
    <row r="14" spans="1:8" ht="12" customHeight="1">
      <c r="A14" s="9">
        <v>7</v>
      </c>
      <c r="B14" s="231"/>
      <c r="C14" s="213"/>
      <c r="D14" s="13" t="s">
        <v>121</v>
      </c>
      <c r="E14" s="9">
        <v>1</v>
      </c>
      <c r="F14" s="32" t="s">
        <v>115</v>
      </c>
      <c r="G14" s="32" t="s">
        <v>115</v>
      </c>
      <c r="H14" s="32" t="s">
        <v>115</v>
      </c>
    </row>
    <row r="15" spans="1:8" ht="12" customHeight="1">
      <c r="A15" s="9">
        <v>8</v>
      </c>
      <c r="B15" s="231"/>
      <c r="C15" s="213"/>
      <c r="D15" s="13" t="s">
        <v>122</v>
      </c>
      <c r="E15" s="9">
        <v>1</v>
      </c>
      <c r="F15" s="32" t="s">
        <v>115</v>
      </c>
      <c r="G15" s="32" t="s">
        <v>115</v>
      </c>
      <c r="H15" s="32" t="s">
        <v>115</v>
      </c>
    </row>
    <row r="16" spans="1:8" ht="12" customHeight="1">
      <c r="A16" s="9">
        <v>9</v>
      </c>
      <c r="B16" s="231"/>
      <c r="C16" s="213"/>
      <c r="D16" s="13" t="s">
        <v>123</v>
      </c>
      <c r="E16" s="9">
        <v>1</v>
      </c>
      <c r="F16" s="32" t="s">
        <v>115</v>
      </c>
      <c r="G16" s="32" t="s">
        <v>115</v>
      </c>
      <c r="H16" s="32" t="s">
        <v>115</v>
      </c>
    </row>
    <row r="17" spans="1:8" ht="12" customHeight="1">
      <c r="A17" s="9">
        <v>10</v>
      </c>
      <c r="B17" s="231"/>
      <c r="C17" s="213"/>
      <c r="D17" s="13" t="s">
        <v>124</v>
      </c>
      <c r="E17" s="9">
        <v>1</v>
      </c>
      <c r="F17" s="32" t="s">
        <v>115</v>
      </c>
      <c r="G17" s="32" t="s">
        <v>115</v>
      </c>
      <c r="H17" s="32" t="s">
        <v>115</v>
      </c>
    </row>
    <row r="18" spans="1:8" ht="12" customHeight="1">
      <c r="A18" s="9"/>
      <c r="B18" s="231"/>
      <c r="C18" s="213"/>
      <c r="D18" s="13" t="s">
        <v>125</v>
      </c>
      <c r="E18" s="9">
        <v>1</v>
      </c>
      <c r="F18" s="32" t="s">
        <v>115</v>
      </c>
      <c r="G18" s="32" t="s">
        <v>115</v>
      </c>
      <c r="H18" s="32" t="s">
        <v>115</v>
      </c>
    </row>
    <row r="19" spans="1:8" ht="12" customHeight="1">
      <c r="A19" s="9">
        <v>11</v>
      </c>
      <c r="B19" s="231"/>
      <c r="C19" s="213"/>
      <c r="D19" s="13" t="s">
        <v>125</v>
      </c>
      <c r="E19" s="9">
        <v>1</v>
      </c>
      <c r="F19" s="32" t="s">
        <v>115</v>
      </c>
      <c r="G19" s="32" t="s">
        <v>115</v>
      </c>
      <c r="H19" s="32" t="s">
        <v>115</v>
      </c>
    </row>
    <row r="20" spans="1:8" ht="12" customHeight="1">
      <c r="A20" s="9"/>
      <c r="B20" s="231"/>
      <c r="C20" s="213"/>
      <c r="D20" s="13" t="s">
        <v>126</v>
      </c>
      <c r="E20" s="9">
        <v>1</v>
      </c>
      <c r="F20" s="32" t="s">
        <v>115</v>
      </c>
      <c r="G20" s="32" t="s">
        <v>115</v>
      </c>
      <c r="H20" s="32" t="s">
        <v>115</v>
      </c>
    </row>
    <row r="21" spans="1:8" ht="12" customHeight="1">
      <c r="A21" s="9"/>
      <c r="B21" s="231"/>
      <c r="C21" s="213"/>
      <c r="D21" s="13" t="s">
        <v>126</v>
      </c>
      <c r="E21" s="9">
        <v>1</v>
      </c>
      <c r="F21" s="32" t="s">
        <v>115</v>
      </c>
      <c r="G21" s="32" t="s">
        <v>115</v>
      </c>
      <c r="H21" s="32" t="s">
        <v>115</v>
      </c>
    </row>
    <row r="22" spans="1:8" ht="12" customHeight="1">
      <c r="A22" s="9">
        <v>12</v>
      </c>
      <c r="B22" s="231"/>
      <c r="C22" s="213"/>
      <c r="D22" s="13" t="s">
        <v>126</v>
      </c>
      <c r="E22" s="9">
        <v>1</v>
      </c>
      <c r="F22" s="32" t="s">
        <v>115</v>
      </c>
      <c r="G22" s="32" t="s">
        <v>115</v>
      </c>
      <c r="H22" s="32" t="s">
        <v>115</v>
      </c>
    </row>
    <row r="23" spans="1:8" ht="12" customHeight="1">
      <c r="A23" s="9"/>
      <c r="B23" s="231"/>
      <c r="C23" s="108"/>
      <c r="D23" s="13" t="s">
        <v>127</v>
      </c>
      <c r="E23" s="9">
        <v>1</v>
      </c>
      <c r="F23" s="32" t="s">
        <v>115</v>
      </c>
      <c r="G23" s="32" t="s">
        <v>115</v>
      </c>
      <c r="H23" s="32" t="s">
        <v>115</v>
      </c>
    </row>
    <row r="24" spans="1:8" ht="21.9" customHeight="1">
      <c r="A24" s="9">
        <v>13</v>
      </c>
      <c r="B24" s="231"/>
      <c r="C24" s="233"/>
      <c r="D24" s="13" t="s">
        <v>127</v>
      </c>
      <c r="E24" s="9">
        <v>1</v>
      </c>
      <c r="F24" s="32" t="s">
        <v>115</v>
      </c>
      <c r="G24" s="32" t="s">
        <v>115</v>
      </c>
      <c r="H24" s="32" t="s">
        <v>115</v>
      </c>
    </row>
    <row r="25" spans="1:8" ht="21.9" customHeight="1">
      <c r="A25" s="9">
        <v>14</v>
      </c>
      <c r="B25" s="231"/>
      <c r="C25" s="234"/>
      <c r="D25" s="13" t="s">
        <v>128</v>
      </c>
      <c r="E25" s="9">
        <v>1</v>
      </c>
      <c r="F25" s="32" t="s">
        <v>115</v>
      </c>
      <c r="G25" s="32" t="s">
        <v>115</v>
      </c>
      <c r="H25" s="32" t="s">
        <v>115</v>
      </c>
    </row>
    <row r="26" spans="1:8" ht="21.9" customHeight="1">
      <c r="A26" s="9">
        <v>15</v>
      </c>
      <c r="B26" s="231"/>
      <c r="C26" s="219" t="s">
        <v>129</v>
      </c>
      <c r="D26" s="41" t="s">
        <v>130</v>
      </c>
      <c r="E26" s="100">
        <v>1</v>
      </c>
      <c r="F26" s="32" t="s">
        <v>131</v>
      </c>
      <c r="G26" s="32" t="s">
        <v>131</v>
      </c>
      <c r="H26" s="32" t="s">
        <v>131</v>
      </c>
    </row>
    <row r="27" spans="1:8" ht="21.9" customHeight="1">
      <c r="A27" s="9">
        <v>16</v>
      </c>
      <c r="B27" s="231"/>
      <c r="C27" s="220"/>
      <c r="D27" s="13" t="s">
        <v>132</v>
      </c>
      <c r="E27" s="31">
        <v>1</v>
      </c>
      <c r="F27" s="32" t="s">
        <v>131</v>
      </c>
      <c r="G27" s="32" t="s">
        <v>131</v>
      </c>
      <c r="H27" s="32" t="s">
        <v>131</v>
      </c>
    </row>
    <row r="28" spans="1:8" ht="21.9" customHeight="1">
      <c r="A28" s="9">
        <v>17</v>
      </c>
      <c r="B28" s="231"/>
      <c r="C28" s="220"/>
      <c r="D28" s="13" t="s">
        <v>133</v>
      </c>
      <c r="E28" s="106">
        <v>1</v>
      </c>
      <c r="F28" s="32" t="s">
        <v>131</v>
      </c>
      <c r="G28" s="32" t="s">
        <v>131</v>
      </c>
      <c r="H28" s="32" t="s">
        <v>131</v>
      </c>
    </row>
    <row r="29" spans="1:8" ht="12" customHeight="1">
      <c r="A29" s="9">
        <v>18</v>
      </c>
      <c r="B29" s="231"/>
      <c r="C29" s="220"/>
      <c r="D29" s="41" t="s">
        <v>134</v>
      </c>
      <c r="E29" s="9">
        <v>1</v>
      </c>
      <c r="F29" s="32" t="s">
        <v>131</v>
      </c>
      <c r="G29" s="32" t="s">
        <v>131</v>
      </c>
      <c r="H29" s="32" t="s">
        <v>131</v>
      </c>
    </row>
    <row r="30" spans="1:8" ht="12" customHeight="1">
      <c r="A30" s="9"/>
      <c r="B30" s="231"/>
      <c r="C30" s="220"/>
      <c r="D30" s="41" t="s">
        <v>135</v>
      </c>
      <c r="E30" s="9">
        <v>1</v>
      </c>
      <c r="F30" s="32" t="s">
        <v>131</v>
      </c>
      <c r="G30" s="32" t="s">
        <v>131</v>
      </c>
      <c r="H30" s="32" t="s">
        <v>131</v>
      </c>
    </row>
    <row r="31" spans="1:8" ht="12" customHeight="1">
      <c r="A31" s="9">
        <v>19</v>
      </c>
      <c r="B31" s="231"/>
      <c r="C31" s="220"/>
      <c r="D31" s="41" t="s">
        <v>135</v>
      </c>
      <c r="E31" s="9">
        <v>1</v>
      </c>
      <c r="F31" s="32" t="s">
        <v>131</v>
      </c>
      <c r="G31" s="32" t="s">
        <v>131</v>
      </c>
      <c r="H31" s="32" t="s">
        <v>131</v>
      </c>
    </row>
    <row r="32" spans="1:8" ht="12" customHeight="1">
      <c r="A32" s="9">
        <v>20</v>
      </c>
      <c r="B32" s="231"/>
      <c r="C32" s="221"/>
      <c r="D32" s="13" t="s">
        <v>136</v>
      </c>
      <c r="E32" s="9">
        <v>1</v>
      </c>
      <c r="F32" s="32" t="s">
        <v>131</v>
      </c>
      <c r="G32" s="32" t="s">
        <v>131</v>
      </c>
      <c r="H32" s="32" t="s">
        <v>131</v>
      </c>
    </row>
    <row r="33" spans="1:8">
      <c r="A33" s="9">
        <v>21</v>
      </c>
      <c r="B33" s="231"/>
      <c r="C33" s="212" t="s">
        <v>137</v>
      </c>
      <c r="D33" s="13" t="s">
        <v>138</v>
      </c>
      <c r="E33" s="9">
        <v>1</v>
      </c>
      <c r="F33" s="32" t="s">
        <v>139</v>
      </c>
      <c r="G33" s="32" t="s">
        <v>139</v>
      </c>
      <c r="H33" s="32" t="s">
        <v>139</v>
      </c>
    </row>
    <row r="34" spans="1:8" ht="12" customHeight="1">
      <c r="A34" s="9">
        <v>22</v>
      </c>
      <c r="B34" s="231"/>
      <c r="C34" s="213"/>
      <c r="D34" s="13" t="s">
        <v>140</v>
      </c>
      <c r="E34" s="9">
        <v>1</v>
      </c>
      <c r="F34" s="32" t="s">
        <v>139</v>
      </c>
      <c r="G34" s="32" t="s">
        <v>139</v>
      </c>
      <c r="H34" s="32" t="s">
        <v>139</v>
      </c>
    </row>
    <row r="35" spans="1:8" ht="12" customHeight="1">
      <c r="A35" s="9">
        <v>23</v>
      </c>
      <c r="B35" s="232"/>
      <c r="C35" s="214"/>
      <c r="D35" s="41" t="s">
        <v>141</v>
      </c>
      <c r="E35" s="9">
        <v>1</v>
      </c>
      <c r="F35" s="32" t="s">
        <v>139</v>
      </c>
      <c r="G35" s="32" t="s">
        <v>139</v>
      </c>
      <c r="H35" s="32" t="s">
        <v>139</v>
      </c>
    </row>
    <row r="36" spans="1:8" ht="24" customHeight="1">
      <c r="A36" s="9"/>
      <c r="B36" s="112"/>
      <c r="C36" s="108"/>
      <c r="D36" s="13" t="s">
        <v>143</v>
      </c>
      <c r="E36" s="9">
        <v>1</v>
      </c>
      <c r="F36" s="35" t="s">
        <v>45</v>
      </c>
      <c r="G36" s="35" t="s">
        <v>46</v>
      </c>
      <c r="H36" s="32" t="s">
        <v>144</v>
      </c>
    </row>
    <row r="37" spans="1:8" ht="24" customHeight="1">
      <c r="A37" s="9">
        <v>1</v>
      </c>
      <c r="B37" s="104"/>
      <c r="C37" s="194" t="s">
        <v>142</v>
      </c>
      <c r="D37" s="13" t="s">
        <v>143</v>
      </c>
      <c r="E37" s="9">
        <v>1</v>
      </c>
      <c r="F37" s="35" t="s">
        <v>45</v>
      </c>
      <c r="G37" s="35" t="s">
        <v>46</v>
      </c>
      <c r="H37" s="32" t="s">
        <v>144</v>
      </c>
    </row>
    <row r="38" spans="1:8" ht="24" customHeight="1">
      <c r="A38" s="9"/>
      <c r="B38" s="105"/>
      <c r="C38" s="195"/>
      <c r="D38" s="13" t="s">
        <v>145</v>
      </c>
      <c r="E38" s="9">
        <v>1</v>
      </c>
      <c r="F38" s="32" t="s">
        <v>146</v>
      </c>
      <c r="G38" s="32" t="s">
        <v>147</v>
      </c>
      <c r="H38" s="32" t="s">
        <v>148</v>
      </c>
    </row>
    <row r="39" spans="1:8">
      <c r="A39" s="9">
        <v>2</v>
      </c>
      <c r="B39" s="105"/>
      <c r="C39" s="195"/>
      <c r="D39" s="13" t="s">
        <v>145</v>
      </c>
      <c r="E39" s="9">
        <v>1</v>
      </c>
      <c r="F39" s="32" t="s">
        <v>146</v>
      </c>
      <c r="G39" s="32" t="s">
        <v>147</v>
      </c>
      <c r="H39" s="32" t="s">
        <v>148</v>
      </c>
    </row>
    <row r="40" spans="1:8" ht="12" customHeight="1">
      <c r="A40" s="9"/>
      <c r="B40" s="105"/>
      <c r="C40" s="195"/>
      <c r="D40" s="13" t="s">
        <v>149</v>
      </c>
      <c r="E40" s="9">
        <v>1</v>
      </c>
      <c r="F40" s="32" t="s">
        <v>150</v>
      </c>
      <c r="G40" s="35" t="s">
        <v>47</v>
      </c>
      <c r="H40" s="35" t="s">
        <v>48</v>
      </c>
    </row>
    <row r="41" spans="1:8" ht="21.9" customHeight="1">
      <c r="A41" s="9">
        <v>3</v>
      </c>
      <c r="B41" s="105"/>
      <c r="C41" s="195"/>
      <c r="D41" s="13" t="s">
        <v>149</v>
      </c>
      <c r="E41" s="9">
        <v>1</v>
      </c>
      <c r="F41" s="32" t="s">
        <v>150</v>
      </c>
      <c r="G41" s="35" t="s">
        <v>47</v>
      </c>
      <c r="H41" s="35" t="s">
        <v>48</v>
      </c>
    </row>
    <row r="42" spans="1:8" ht="24" customHeight="1">
      <c r="A42" s="9">
        <v>4</v>
      </c>
      <c r="B42" s="105"/>
      <c r="C42" s="195"/>
      <c r="D42" s="33" t="s">
        <v>49</v>
      </c>
      <c r="E42" s="100">
        <v>1</v>
      </c>
      <c r="F42" s="32" t="s">
        <v>148</v>
      </c>
      <c r="G42" s="32" t="s">
        <v>151</v>
      </c>
      <c r="H42" s="32" t="s">
        <v>45</v>
      </c>
    </row>
    <row r="43" spans="1:8" ht="24" customHeight="1">
      <c r="A43" s="9">
        <v>5</v>
      </c>
      <c r="B43" s="105"/>
      <c r="C43" s="195"/>
      <c r="D43" s="13" t="s">
        <v>152</v>
      </c>
      <c r="E43" s="40">
        <v>1</v>
      </c>
      <c r="F43" s="32" t="s">
        <v>146</v>
      </c>
      <c r="G43" s="32" t="s">
        <v>151</v>
      </c>
      <c r="H43" s="32" t="s">
        <v>50</v>
      </c>
    </row>
    <row r="44" spans="1:8" ht="12.75" customHeight="1">
      <c r="A44" s="9"/>
      <c r="B44" s="105"/>
      <c r="C44" s="195"/>
      <c r="D44" s="13" t="s">
        <v>153</v>
      </c>
      <c r="E44" s="9">
        <v>1</v>
      </c>
      <c r="F44" s="32" t="s">
        <v>154</v>
      </c>
      <c r="G44" s="32" t="s">
        <v>146</v>
      </c>
      <c r="H44" s="32" t="s">
        <v>45</v>
      </c>
    </row>
    <row r="45" spans="1:8" ht="12.75" customHeight="1">
      <c r="A45" s="9">
        <v>6</v>
      </c>
      <c r="B45" s="105"/>
      <c r="C45" s="195"/>
      <c r="D45" s="13" t="s">
        <v>153</v>
      </c>
      <c r="E45" s="9">
        <v>1</v>
      </c>
      <c r="F45" s="32" t="s">
        <v>154</v>
      </c>
      <c r="G45" s="32" t="s">
        <v>146</v>
      </c>
      <c r="H45" s="32" t="s">
        <v>45</v>
      </c>
    </row>
    <row r="46" spans="1:8" ht="30.6">
      <c r="A46" s="9">
        <v>7</v>
      </c>
      <c r="B46" s="105"/>
      <c r="C46" s="195"/>
      <c r="D46" s="41" t="s">
        <v>155</v>
      </c>
      <c r="E46" s="9">
        <v>1</v>
      </c>
      <c r="F46" s="35" t="s">
        <v>50</v>
      </c>
      <c r="G46" s="32" t="s">
        <v>45</v>
      </c>
      <c r="H46" s="32" t="s">
        <v>156</v>
      </c>
    </row>
    <row r="47" spans="1:8">
      <c r="A47" s="9">
        <v>8</v>
      </c>
      <c r="B47" s="105"/>
      <c r="C47" s="195"/>
      <c r="D47" s="13" t="s">
        <v>157</v>
      </c>
      <c r="E47" s="9">
        <v>1</v>
      </c>
      <c r="F47" s="32" t="s">
        <v>154</v>
      </c>
      <c r="G47" s="32" t="s">
        <v>151</v>
      </c>
      <c r="H47" s="32" t="s">
        <v>51</v>
      </c>
    </row>
    <row r="48" spans="1:8" ht="20.399999999999999">
      <c r="A48" s="9">
        <v>9</v>
      </c>
      <c r="B48" s="106"/>
      <c r="C48" s="196"/>
      <c r="D48" s="13" t="s">
        <v>158</v>
      </c>
      <c r="E48" s="9">
        <v>1</v>
      </c>
      <c r="F48" s="35" t="s">
        <v>52</v>
      </c>
      <c r="G48" s="32" t="s">
        <v>154</v>
      </c>
      <c r="H48" s="32" t="s">
        <v>159</v>
      </c>
    </row>
    <row r="49" spans="1:8">
      <c r="A49" s="9">
        <v>10</v>
      </c>
      <c r="B49" s="9"/>
      <c r="C49" s="7" t="s">
        <v>160</v>
      </c>
      <c r="D49" s="13" t="s">
        <v>161</v>
      </c>
      <c r="E49" s="9">
        <v>1</v>
      </c>
      <c r="F49" s="32" t="s">
        <v>150</v>
      </c>
      <c r="G49" s="32" t="s">
        <v>159</v>
      </c>
      <c r="H49" s="32" t="s">
        <v>45</v>
      </c>
    </row>
    <row r="50" spans="1:8">
      <c r="A50" s="9"/>
      <c r="B50" s="9"/>
      <c r="C50" s="7"/>
      <c r="D50" s="13" t="s">
        <v>162</v>
      </c>
      <c r="E50" s="9">
        <v>1</v>
      </c>
      <c r="F50" s="32" t="s">
        <v>45</v>
      </c>
      <c r="G50" s="32" t="s">
        <v>151</v>
      </c>
      <c r="H50" s="32" t="s">
        <v>163</v>
      </c>
    </row>
    <row r="51" spans="1:8">
      <c r="A51" s="9">
        <v>11</v>
      </c>
      <c r="B51" s="9"/>
      <c r="C51" s="7" t="s">
        <v>160</v>
      </c>
      <c r="D51" s="13" t="s">
        <v>162</v>
      </c>
      <c r="E51" s="9">
        <v>1</v>
      </c>
      <c r="F51" s="32" t="s">
        <v>45</v>
      </c>
      <c r="G51" s="32" t="s">
        <v>151</v>
      </c>
      <c r="H51" s="32" t="s">
        <v>163</v>
      </c>
    </row>
    <row r="52" spans="1:8">
      <c r="A52" s="9">
        <v>12</v>
      </c>
      <c r="B52" s="9"/>
      <c r="C52" s="7" t="s">
        <v>160</v>
      </c>
      <c r="D52" s="33" t="s">
        <v>363</v>
      </c>
      <c r="E52" s="9">
        <v>1</v>
      </c>
      <c r="F52" s="32" t="s">
        <v>154</v>
      </c>
      <c r="G52" s="32" t="s">
        <v>45</v>
      </c>
      <c r="H52" s="32" t="s">
        <v>164</v>
      </c>
    </row>
    <row r="53" spans="1:8" ht="20.399999999999999">
      <c r="A53" s="9">
        <v>13</v>
      </c>
      <c r="B53" s="9"/>
      <c r="C53" s="10" t="s">
        <v>165</v>
      </c>
      <c r="D53" s="13" t="s">
        <v>166</v>
      </c>
      <c r="E53" s="9">
        <v>1</v>
      </c>
      <c r="F53" s="32" t="s">
        <v>144</v>
      </c>
      <c r="G53" s="32" t="s">
        <v>146</v>
      </c>
      <c r="H53" s="32" t="s">
        <v>45</v>
      </c>
    </row>
    <row r="54" spans="1:8" ht="20.399999999999999">
      <c r="A54" s="9">
        <v>14</v>
      </c>
      <c r="B54" s="9"/>
      <c r="C54" s="7" t="s">
        <v>160</v>
      </c>
      <c r="D54" s="13" t="s">
        <v>167</v>
      </c>
      <c r="E54" s="9">
        <v>1</v>
      </c>
      <c r="F54" s="32" t="s">
        <v>50</v>
      </c>
      <c r="G54" s="32" t="s">
        <v>146</v>
      </c>
      <c r="H54" s="32" t="s">
        <v>163</v>
      </c>
    </row>
    <row r="55" spans="1:8">
      <c r="A55" s="9"/>
      <c r="B55" s="9"/>
      <c r="C55" s="7"/>
      <c r="D55" s="13" t="s">
        <v>169</v>
      </c>
      <c r="E55" s="9">
        <v>1</v>
      </c>
      <c r="F55" s="32" t="s">
        <v>45</v>
      </c>
      <c r="G55" s="35" t="s">
        <v>50</v>
      </c>
      <c r="H55" s="35" t="s">
        <v>53</v>
      </c>
    </row>
    <row r="56" spans="1:8" ht="12.75" customHeight="1">
      <c r="A56" s="9">
        <v>15</v>
      </c>
      <c r="B56" s="9"/>
      <c r="C56" s="7" t="s">
        <v>168</v>
      </c>
      <c r="D56" s="13" t="s">
        <v>169</v>
      </c>
      <c r="E56" s="9">
        <v>1</v>
      </c>
      <c r="F56" s="32" t="s">
        <v>45</v>
      </c>
      <c r="G56" s="35" t="s">
        <v>50</v>
      </c>
      <c r="H56" s="35" t="s">
        <v>53</v>
      </c>
    </row>
    <row r="57" spans="1:8" ht="12.75" customHeight="1">
      <c r="A57" s="9"/>
      <c r="B57" s="9"/>
      <c r="C57" s="7"/>
      <c r="D57" s="13" t="s">
        <v>170</v>
      </c>
      <c r="E57" s="9">
        <v>1</v>
      </c>
      <c r="F57" s="32" t="s">
        <v>154</v>
      </c>
      <c r="G57" s="32" t="s">
        <v>147</v>
      </c>
      <c r="H57" s="36" t="s">
        <v>159</v>
      </c>
    </row>
    <row r="58" spans="1:8">
      <c r="A58" s="9">
        <v>16</v>
      </c>
      <c r="B58" s="9"/>
      <c r="C58" s="7" t="s">
        <v>160</v>
      </c>
      <c r="D58" s="13" t="s">
        <v>170</v>
      </c>
      <c r="E58" s="9">
        <v>1</v>
      </c>
      <c r="F58" s="32" t="s">
        <v>154</v>
      </c>
      <c r="G58" s="32" t="s">
        <v>147</v>
      </c>
      <c r="H58" s="36" t="s">
        <v>159</v>
      </c>
    </row>
    <row r="59" spans="1:8">
      <c r="A59" s="9">
        <v>17</v>
      </c>
      <c r="B59" s="9"/>
      <c r="C59" s="7" t="s">
        <v>160</v>
      </c>
      <c r="D59" s="33" t="s">
        <v>350</v>
      </c>
      <c r="E59" s="9">
        <v>1</v>
      </c>
      <c r="F59" s="32" t="s">
        <v>147</v>
      </c>
      <c r="G59" s="37" t="s">
        <v>159</v>
      </c>
      <c r="H59" s="36" t="s">
        <v>54</v>
      </c>
    </row>
    <row r="60" spans="1:8">
      <c r="A60" s="9">
        <v>18</v>
      </c>
      <c r="B60" s="9"/>
      <c r="C60" s="7" t="s">
        <v>160</v>
      </c>
      <c r="D60" s="13" t="s">
        <v>171</v>
      </c>
      <c r="E60" s="9">
        <v>1</v>
      </c>
      <c r="F60" s="32" t="s">
        <v>146</v>
      </c>
      <c r="G60" s="32" t="s">
        <v>151</v>
      </c>
      <c r="H60" s="39" t="s">
        <v>45</v>
      </c>
    </row>
    <row r="61" spans="1:8" ht="12.75" customHeight="1">
      <c r="A61" s="9"/>
      <c r="B61" s="9"/>
      <c r="C61" s="7"/>
      <c r="D61" s="13" t="s">
        <v>171</v>
      </c>
      <c r="E61" s="9">
        <v>1</v>
      </c>
      <c r="F61" s="32" t="s">
        <v>146</v>
      </c>
      <c r="G61" s="32" t="s">
        <v>151</v>
      </c>
      <c r="H61" s="38" t="s">
        <v>45</v>
      </c>
    </row>
    <row r="62" spans="1:8" ht="12.75" customHeight="1">
      <c r="A62" s="6">
        <v>19</v>
      </c>
      <c r="B62" s="6"/>
      <c r="C62" s="13" t="s">
        <v>160</v>
      </c>
      <c r="D62" s="13" t="s">
        <v>172</v>
      </c>
      <c r="E62" s="6">
        <v>1</v>
      </c>
      <c r="F62" s="35" t="s">
        <v>52</v>
      </c>
      <c r="G62" s="32" t="s">
        <v>50</v>
      </c>
      <c r="H62" s="32" t="s">
        <v>163</v>
      </c>
    </row>
    <row r="63" spans="1:8">
      <c r="A63" s="9">
        <v>20</v>
      </c>
      <c r="B63" s="9"/>
      <c r="C63" s="7" t="s">
        <v>160</v>
      </c>
      <c r="D63" s="13" t="s">
        <v>173</v>
      </c>
      <c r="E63" s="9">
        <v>1</v>
      </c>
      <c r="F63" s="32" t="s">
        <v>174</v>
      </c>
      <c r="G63" s="32" t="s">
        <v>174</v>
      </c>
      <c r="H63" s="32" t="s">
        <v>174</v>
      </c>
    </row>
    <row r="64" spans="1:8" ht="30.6">
      <c r="A64" s="9"/>
      <c r="B64" s="9"/>
      <c r="C64" s="7"/>
      <c r="D64" s="33" t="s">
        <v>351</v>
      </c>
      <c r="E64" s="6">
        <v>1</v>
      </c>
      <c r="F64" s="32" t="s">
        <v>174</v>
      </c>
      <c r="G64" s="32" t="s">
        <v>174</v>
      </c>
      <c r="H64" s="32" t="s">
        <v>174</v>
      </c>
    </row>
    <row r="65" spans="1:8" ht="30.6">
      <c r="A65" s="6">
        <v>21</v>
      </c>
      <c r="B65" s="6"/>
      <c r="C65" s="13" t="s">
        <v>175</v>
      </c>
      <c r="D65" s="33" t="s">
        <v>351</v>
      </c>
      <c r="E65" s="6">
        <v>1</v>
      </c>
      <c r="F65" s="32" t="s">
        <v>174</v>
      </c>
      <c r="G65" s="32" t="s">
        <v>174</v>
      </c>
      <c r="H65" s="32" t="s">
        <v>174</v>
      </c>
    </row>
    <row r="66" spans="1:8" ht="30.6">
      <c r="A66" s="9">
        <v>22</v>
      </c>
      <c r="B66" s="9"/>
      <c r="C66" s="7" t="s">
        <v>175</v>
      </c>
      <c r="D66" s="13" t="s">
        <v>176</v>
      </c>
      <c r="E66" s="9">
        <v>1</v>
      </c>
      <c r="F66" s="32" t="s">
        <v>174</v>
      </c>
      <c r="G66" s="32" t="s">
        <v>174</v>
      </c>
      <c r="H66" s="32" t="s">
        <v>174</v>
      </c>
    </row>
    <row r="67" spans="1:8" ht="30.6">
      <c r="A67" s="6">
        <v>23</v>
      </c>
      <c r="B67" s="6"/>
      <c r="C67" s="13" t="s">
        <v>177</v>
      </c>
      <c r="D67" s="13" t="s">
        <v>178</v>
      </c>
      <c r="E67" s="6">
        <v>1</v>
      </c>
      <c r="F67" s="32" t="s">
        <v>179</v>
      </c>
      <c r="G67" s="32" t="s">
        <v>179</v>
      </c>
      <c r="H67" s="32" t="s">
        <v>179</v>
      </c>
    </row>
    <row r="68" spans="1:8" ht="51">
      <c r="A68" s="6"/>
      <c r="B68" s="6"/>
      <c r="C68" s="13"/>
      <c r="D68" s="13" t="s">
        <v>181</v>
      </c>
      <c r="E68" s="6">
        <v>1</v>
      </c>
      <c r="F68" s="32" t="s">
        <v>45</v>
      </c>
      <c r="G68" s="32" t="s">
        <v>50</v>
      </c>
      <c r="H68" s="32" t="s">
        <v>53</v>
      </c>
    </row>
    <row r="69" spans="1:8" ht="51">
      <c r="A69" s="6">
        <v>24</v>
      </c>
      <c r="B69" s="6"/>
      <c r="C69" s="13" t="s">
        <v>180</v>
      </c>
      <c r="D69" s="13" t="s">
        <v>181</v>
      </c>
      <c r="E69" s="6">
        <v>1</v>
      </c>
      <c r="F69" s="32" t="s">
        <v>45</v>
      </c>
      <c r="G69" s="32" t="s">
        <v>50</v>
      </c>
      <c r="H69" s="32" t="s">
        <v>53</v>
      </c>
    </row>
    <row r="70" spans="1:8" ht="20.399999999999999">
      <c r="A70" s="9">
        <v>25</v>
      </c>
      <c r="B70" s="9"/>
      <c r="C70" s="7" t="s">
        <v>180</v>
      </c>
      <c r="D70" s="13" t="s">
        <v>182</v>
      </c>
      <c r="E70" s="9">
        <v>1</v>
      </c>
      <c r="F70" s="32" t="s">
        <v>45</v>
      </c>
      <c r="G70" s="32" t="s">
        <v>183</v>
      </c>
      <c r="H70" s="32" t="s">
        <v>146</v>
      </c>
    </row>
    <row r="71" spans="1:8" ht="20.399999999999999">
      <c r="A71" s="9">
        <v>26</v>
      </c>
      <c r="B71" s="9"/>
      <c r="C71" s="7" t="s">
        <v>184</v>
      </c>
      <c r="D71" s="13" t="s">
        <v>185</v>
      </c>
      <c r="E71" s="9">
        <v>1</v>
      </c>
      <c r="F71" s="32" t="s">
        <v>50</v>
      </c>
      <c r="G71" s="32" t="s">
        <v>45</v>
      </c>
      <c r="H71" s="32" t="s">
        <v>146</v>
      </c>
    </row>
    <row r="72" spans="1:8">
      <c r="A72" s="9">
        <v>27</v>
      </c>
      <c r="B72" s="9"/>
      <c r="C72" s="7" t="s">
        <v>186</v>
      </c>
      <c r="D72" s="13" t="s">
        <v>187</v>
      </c>
      <c r="E72" s="9">
        <v>1</v>
      </c>
      <c r="F72" s="36" t="s">
        <v>98</v>
      </c>
      <c r="G72" s="36" t="s">
        <v>98</v>
      </c>
      <c r="H72" s="36" t="s">
        <v>98</v>
      </c>
    </row>
    <row r="73" spans="1:8" ht="20.399999999999999">
      <c r="A73" s="104">
        <v>28</v>
      </c>
      <c r="B73" s="104"/>
      <c r="C73" s="30" t="s">
        <v>355</v>
      </c>
      <c r="D73" s="13" t="s">
        <v>357</v>
      </c>
      <c r="E73" s="29">
        <v>1</v>
      </c>
      <c r="F73" s="34" t="s">
        <v>352</v>
      </c>
      <c r="G73" s="34" t="s">
        <v>352</v>
      </c>
      <c r="H73" s="34" t="s">
        <v>352</v>
      </c>
    </row>
    <row r="74" spans="1:8" ht="30.6">
      <c r="A74" s="104">
        <v>29</v>
      </c>
      <c r="B74" s="104"/>
      <c r="C74" s="30" t="s">
        <v>358</v>
      </c>
      <c r="D74" s="13" t="s">
        <v>358</v>
      </c>
      <c r="E74" s="29">
        <v>1</v>
      </c>
      <c r="F74" s="34" t="s">
        <v>352</v>
      </c>
      <c r="G74" s="34" t="s">
        <v>352</v>
      </c>
      <c r="H74" s="34" t="s">
        <v>352</v>
      </c>
    </row>
    <row r="75" spans="1:8" ht="30.6">
      <c r="A75" s="104">
        <v>30</v>
      </c>
      <c r="B75" s="104"/>
      <c r="C75" s="30" t="s">
        <v>358</v>
      </c>
      <c r="D75" s="13" t="s">
        <v>358</v>
      </c>
      <c r="E75" s="29">
        <v>1</v>
      </c>
      <c r="F75" s="34" t="s">
        <v>352</v>
      </c>
      <c r="G75" s="34" t="s">
        <v>352</v>
      </c>
      <c r="H75" s="34" t="s">
        <v>352</v>
      </c>
    </row>
    <row r="76" spans="1:8">
      <c r="A76" s="104"/>
      <c r="B76" s="104"/>
      <c r="C76" s="30" t="s">
        <v>359</v>
      </c>
      <c r="D76" s="13" t="s">
        <v>359</v>
      </c>
      <c r="E76" s="29">
        <v>1</v>
      </c>
      <c r="F76" s="34" t="s">
        <v>352</v>
      </c>
      <c r="G76" s="34" t="s">
        <v>352</v>
      </c>
      <c r="H76" s="34" t="s">
        <v>352</v>
      </c>
    </row>
    <row r="77" spans="1:8" ht="40.799999999999997">
      <c r="A77" s="104"/>
      <c r="B77" s="104"/>
      <c r="C77" s="30" t="s">
        <v>360</v>
      </c>
      <c r="D77" s="13" t="s">
        <v>360</v>
      </c>
      <c r="E77" s="29">
        <v>1</v>
      </c>
      <c r="F77" s="34" t="s">
        <v>352</v>
      </c>
      <c r="G77" s="34" t="s">
        <v>352</v>
      </c>
      <c r="H77" s="34" t="s">
        <v>352</v>
      </c>
    </row>
    <row r="78" spans="1:8" ht="40.799999999999997">
      <c r="A78" s="104"/>
      <c r="B78" s="104"/>
      <c r="C78" s="30" t="s">
        <v>360</v>
      </c>
      <c r="D78" s="13" t="s">
        <v>360</v>
      </c>
      <c r="E78" s="29">
        <v>1</v>
      </c>
      <c r="F78" s="34" t="s">
        <v>352</v>
      </c>
      <c r="G78" s="34" t="s">
        <v>352</v>
      </c>
      <c r="H78" s="34" t="s">
        <v>352</v>
      </c>
    </row>
    <row r="79" spans="1:8">
      <c r="A79" s="9">
        <v>7</v>
      </c>
      <c r="B79" s="9"/>
      <c r="C79" s="12" t="s">
        <v>361</v>
      </c>
      <c r="D79" s="13" t="s">
        <v>189</v>
      </c>
      <c r="E79" s="9">
        <v>1</v>
      </c>
      <c r="F79" s="38" t="s">
        <v>98</v>
      </c>
      <c r="G79" s="38" t="s">
        <v>98</v>
      </c>
      <c r="H79" s="38" t="s">
        <v>98</v>
      </c>
    </row>
    <row r="80" spans="1:8">
      <c r="A80" s="191">
        <v>1</v>
      </c>
      <c r="B80" s="100"/>
      <c r="C80" s="212" t="s">
        <v>190</v>
      </c>
      <c r="D80" s="13" t="s">
        <v>191</v>
      </c>
      <c r="E80" s="14">
        <v>1</v>
      </c>
      <c r="F80" s="32" t="s">
        <v>159</v>
      </c>
      <c r="G80" s="32" t="s">
        <v>150</v>
      </c>
      <c r="H80" s="32" t="s">
        <v>57</v>
      </c>
    </row>
    <row r="81" spans="1:8" ht="30.6">
      <c r="A81" s="192"/>
      <c r="B81" s="101"/>
      <c r="C81" s="213"/>
      <c r="D81" s="41" t="s">
        <v>192</v>
      </c>
      <c r="E81" s="14">
        <v>1</v>
      </c>
      <c r="F81" s="32" t="s">
        <v>150</v>
      </c>
      <c r="G81" s="35" t="s">
        <v>58</v>
      </c>
      <c r="H81" s="32" t="s">
        <v>193</v>
      </c>
    </row>
    <row r="82" spans="1:8" ht="20.399999999999999">
      <c r="A82" s="192"/>
      <c r="B82" s="101"/>
      <c r="C82" s="213"/>
      <c r="D82" s="13" t="s">
        <v>194</v>
      </c>
      <c r="E82" s="14">
        <v>1</v>
      </c>
      <c r="F82" s="32" t="s">
        <v>57</v>
      </c>
      <c r="G82" s="32" t="s">
        <v>159</v>
      </c>
      <c r="H82" s="32" t="s">
        <v>150</v>
      </c>
    </row>
    <row r="83" spans="1:8" ht="20.399999999999999">
      <c r="A83" s="193"/>
      <c r="B83" s="102"/>
      <c r="C83" s="214"/>
      <c r="D83" s="13" t="s">
        <v>194</v>
      </c>
      <c r="E83" s="14">
        <v>1</v>
      </c>
      <c r="F83" s="32" t="s">
        <v>57</v>
      </c>
      <c r="G83" s="32" t="s">
        <v>159</v>
      </c>
      <c r="H83" s="32" t="s">
        <v>150</v>
      </c>
    </row>
    <row r="84" spans="1:8" ht="20.399999999999999">
      <c r="A84" s="101"/>
      <c r="B84" s="101"/>
      <c r="C84" s="108"/>
      <c r="D84" s="13" t="s">
        <v>196</v>
      </c>
      <c r="E84" s="14">
        <v>1</v>
      </c>
      <c r="F84" s="32" t="s">
        <v>59</v>
      </c>
      <c r="G84" s="32" t="s">
        <v>51</v>
      </c>
      <c r="H84" s="32" t="s">
        <v>46</v>
      </c>
    </row>
    <row r="85" spans="1:8" ht="20.399999999999999">
      <c r="A85" s="191">
        <v>2</v>
      </c>
      <c r="B85" s="100"/>
      <c r="C85" s="222" t="s">
        <v>195</v>
      </c>
      <c r="D85" s="13" t="s">
        <v>196</v>
      </c>
      <c r="E85" s="14">
        <v>1</v>
      </c>
      <c r="F85" s="32" t="s">
        <v>59</v>
      </c>
      <c r="G85" s="32" t="s">
        <v>51</v>
      </c>
      <c r="H85" s="32" t="s">
        <v>46</v>
      </c>
    </row>
    <row r="86" spans="1:8" ht="20.399999999999999">
      <c r="A86" s="192"/>
      <c r="B86" s="101"/>
      <c r="C86" s="223"/>
      <c r="D86" s="13" t="s">
        <v>197</v>
      </c>
      <c r="E86" s="14">
        <v>1</v>
      </c>
      <c r="F86" s="32" t="s">
        <v>60</v>
      </c>
      <c r="G86" s="32" t="s">
        <v>61</v>
      </c>
      <c r="H86" s="32" t="s">
        <v>51</v>
      </c>
    </row>
    <row r="87" spans="1:8" ht="20.399999999999999">
      <c r="A87" s="192"/>
      <c r="B87" s="101"/>
      <c r="C87" s="223"/>
      <c r="D87" s="13" t="s">
        <v>198</v>
      </c>
      <c r="E87" s="14">
        <v>1</v>
      </c>
      <c r="F87" s="32" t="s">
        <v>62</v>
      </c>
      <c r="G87" s="32" t="s">
        <v>59</v>
      </c>
      <c r="H87" s="32" t="s">
        <v>63</v>
      </c>
    </row>
    <row r="88" spans="1:8">
      <c r="A88" s="192"/>
      <c r="B88" s="101"/>
      <c r="C88" s="223"/>
      <c r="D88" s="13" t="s">
        <v>199</v>
      </c>
      <c r="E88" s="14">
        <v>1</v>
      </c>
      <c r="F88" s="32" t="s">
        <v>48</v>
      </c>
      <c r="G88" s="32" t="s">
        <v>61</v>
      </c>
      <c r="H88" s="32" t="s">
        <v>64</v>
      </c>
    </row>
    <row r="89" spans="1:8">
      <c r="A89" s="192"/>
      <c r="B89" s="101"/>
      <c r="C89" s="223"/>
      <c r="D89" s="13" t="s">
        <v>200</v>
      </c>
      <c r="E89" s="14">
        <v>1</v>
      </c>
      <c r="F89" s="32" t="s">
        <v>64</v>
      </c>
      <c r="G89" s="32" t="s">
        <v>60</v>
      </c>
      <c r="H89" s="32" t="s">
        <v>65</v>
      </c>
    </row>
    <row r="90" spans="1:8">
      <c r="A90" s="192"/>
      <c r="B90" s="101"/>
      <c r="C90" s="223"/>
      <c r="D90" s="13" t="s">
        <v>201</v>
      </c>
      <c r="E90" s="14">
        <v>1</v>
      </c>
      <c r="F90" s="32" t="s">
        <v>51</v>
      </c>
      <c r="G90" s="32" t="s">
        <v>65</v>
      </c>
      <c r="H90" s="32" t="s">
        <v>60</v>
      </c>
    </row>
    <row r="91" spans="1:8" ht="20.399999999999999">
      <c r="A91" s="192"/>
      <c r="B91" s="101"/>
      <c r="C91" s="223"/>
      <c r="D91" s="13" t="s">
        <v>202</v>
      </c>
      <c r="E91" s="14">
        <v>1</v>
      </c>
      <c r="F91" s="32" t="s">
        <v>58</v>
      </c>
      <c r="G91" s="32" t="s">
        <v>56</v>
      </c>
      <c r="H91" s="32" t="s">
        <v>66</v>
      </c>
    </row>
    <row r="92" spans="1:8" ht="20.399999999999999">
      <c r="A92" s="192"/>
      <c r="B92" s="101"/>
      <c r="C92" s="223"/>
      <c r="D92" s="13" t="s">
        <v>202</v>
      </c>
      <c r="E92" s="14">
        <v>1</v>
      </c>
      <c r="F92" s="32" t="s">
        <v>58</v>
      </c>
      <c r="G92" s="32" t="s">
        <v>56</v>
      </c>
      <c r="H92" s="32" t="s">
        <v>66</v>
      </c>
    </row>
    <row r="93" spans="1:8" ht="30.6">
      <c r="A93" s="193"/>
      <c r="B93" s="102"/>
      <c r="C93" s="224"/>
      <c r="D93" s="13" t="s">
        <v>203</v>
      </c>
      <c r="E93" s="15">
        <v>1</v>
      </c>
      <c r="F93" s="32" t="s">
        <v>59</v>
      </c>
      <c r="G93" s="32" t="s">
        <v>67</v>
      </c>
      <c r="H93" s="32" t="s">
        <v>56</v>
      </c>
    </row>
    <row r="94" spans="1:8">
      <c r="A94" s="209"/>
      <c r="B94" s="111"/>
      <c r="C94" s="209"/>
      <c r="D94" s="13" t="s">
        <v>204</v>
      </c>
      <c r="E94" s="14">
        <v>1</v>
      </c>
      <c r="F94" s="32" t="s">
        <v>159</v>
      </c>
      <c r="G94" s="35" t="s">
        <v>51</v>
      </c>
      <c r="H94" s="35" t="s">
        <v>59</v>
      </c>
    </row>
    <row r="95" spans="1:8" ht="30.6">
      <c r="A95" s="210"/>
      <c r="B95" s="113"/>
      <c r="C95" s="210"/>
      <c r="D95" s="41" t="s">
        <v>205</v>
      </c>
      <c r="E95" s="14">
        <v>1</v>
      </c>
      <c r="F95" s="32" t="s">
        <v>159</v>
      </c>
      <c r="G95" s="32" t="s">
        <v>57</v>
      </c>
      <c r="H95" s="35" t="s">
        <v>51</v>
      </c>
    </row>
    <row r="96" spans="1:8" ht="30.6">
      <c r="A96" s="215">
        <v>3</v>
      </c>
      <c r="B96" s="105"/>
      <c r="C96" s="229" t="s">
        <v>206</v>
      </c>
      <c r="D96" s="33" t="s">
        <v>68</v>
      </c>
      <c r="E96" s="14">
        <v>1</v>
      </c>
      <c r="F96" s="32" t="s">
        <v>154</v>
      </c>
      <c r="G96" s="32" t="s">
        <v>51</v>
      </c>
      <c r="H96" s="32" t="s">
        <v>207</v>
      </c>
    </row>
    <row r="97" spans="1:8" ht="30.6">
      <c r="A97" s="215"/>
      <c r="B97" s="105"/>
      <c r="C97" s="229"/>
      <c r="D97" s="33" t="s">
        <v>69</v>
      </c>
      <c r="E97" s="14">
        <v>1</v>
      </c>
      <c r="F97" s="35" t="s">
        <v>61</v>
      </c>
      <c r="G97" s="32" t="s">
        <v>208</v>
      </c>
      <c r="H97" s="35" t="s">
        <v>65</v>
      </c>
    </row>
    <row r="98" spans="1:8" ht="30.6">
      <c r="A98" s="215"/>
      <c r="B98" s="105"/>
      <c r="C98" s="229"/>
      <c r="D98" s="33" t="s">
        <v>70</v>
      </c>
      <c r="E98" s="14">
        <v>1</v>
      </c>
      <c r="F98" s="35" t="s">
        <v>64</v>
      </c>
      <c r="G98" s="35" t="s">
        <v>59</v>
      </c>
      <c r="H98" s="32" t="s">
        <v>207</v>
      </c>
    </row>
    <row r="99" spans="1:8" ht="40.799999999999997">
      <c r="A99" s="215"/>
      <c r="B99" s="105"/>
      <c r="C99" s="229"/>
      <c r="D99" s="33" t="s">
        <v>71</v>
      </c>
      <c r="E99" s="14">
        <v>1</v>
      </c>
      <c r="F99" s="35" t="s">
        <v>51</v>
      </c>
      <c r="G99" s="35" t="s">
        <v>65</v>
      </c>
      <c r="H99" s="32" t="s">
        <v>209</v>
      </c>
    </row>
    <row r="100" spans="1:8">
      <c r="A100" s="215"/>
      <c r="B100" s="105"/>
      <c r="C100" s="229"/>
      <c r="D100" s="13" t="s">
        <v>210</v>
      </c>
      <c r="E100" s="14">
        <v>1</v>
      </c>
      <c r="F100" s="32" t="s">
        <v>148</v>
      </c>
      <c r="G100" s="32" t="s">
        <v>207</v>
      </c>
      <c r="H100" s="32" t="s">
        <v>154</v>
      </c>
    </row>
    <row r="101" spans="1:8">
      <c r="A101" s="215"/>
      <c r="B101" s="105"/>
      <c r="C101" s="229"/>
      <c r="D101" s="13" t="s">
        <v>210</v>
      </c>
      <c r="E101" s="14">
        <v>1</v>
      </c>
      <c r="F101" s="32" t="s">
        <v>148</v>
      </c>
      <c r="G101" s="32" t="s">
        <v>207</v>
      </c>
      <c r="H101" s="32" t="s">
        <v>154</v>
      </c>
    </row>
    <row r="102" spans="1:8" ht="20.399999999999999">
      <c r="A102" s="191">
        <v>4</v>
      </c>
      <c r="B102" s="100"/>
      <c r="C102" s="227" t="s">
        <v>211</v>
      </c>
      <c r="D102" s="13" t="s">
        <v>212</v>
      </c>
      <c r="E102" s="14">
        <v>1</v>
      </c>
      <c r="F102" s="35" t="s">
        <v>51</v>
      </c>
      <c r="G102" s="32" t="s">
        <v>150</v>
      </c>
      <c r="H102" s="32" t="s">
        <v>209</v>
      </c>
    </row>
    <row r="103" spans="1:8" ht="20.399999999999999">
      <c r="A103" s="192"/>
      <c r="B103" s="101"/>
      <c r="C103" s="228"/>
      <c r="D103" s="13" t="s">
        <v>212</v>
      </c>
      <c r="E103" s="14">
        <v>1</v>
      </c>
      <c r="F103" s="35" t="s">
        <v>51</v>
      </c>
      <c r="G103" s="32" t="s">
        <v>150</v>
      </c>
      <c r="H103" s="32" t="s">
        <v>209</v>
      </c>
    </row>
    <row r="104" spans="1:8" ht="20.399999999999999">
      <c r="A104" s="192"/>
      <c r="B104" s="101"/>
      <c r="C104" s="228"/>
      <c r="D104" s="13" t="s">
        <v>213</v>
      </c>
      <c r="E104" s="14">
        <v>1</v>
      </c>
      <c r="F104" s="32" t="s">
        <v>154</v>
      </c>
      <c r="G104" s="35" t="s">
        <v>58</v>
      </c>
      <c r="H104" s="32" t="s">
        <v>209</v>
      </c>
    </row>
    <row r="105" spans="1:8" ht="20.399999999999999">
      <c r="A105" s="192"/>
      <c r="B105" s="101"/>
      <c r="C105" s="228"/>
      <c r="D105" s="13" t="s">
        <v>214</v>
      </c>
      <c r="E105" s="14">
        <v>1</v>
      </c>
      <c r="F105" s="32" t="s">
        <v>207</v>
      </c>
      <c r="G105" s="35" t="s">
        <v>65</v>
      </c>
      <c r="H105" s="32" t="s">
        <v>208</v>
      </c>
    </row>
    <row r="106" spans="1:8" ht="20.399999999999999">
      <c r="A106" s="192"/>
      <c r="B106" s="101"/>
      <c r="C106" s="228"/>
      <c r="D106" s="13" t="s">
        <v>215</v>
      </c>
      <c r="E106" s="14">
        <v>1</v>
      </c>
      <c r="F106" s="32" t="s">
        <v>208</v>
      </c>
      <c r="G106" s="35" t="s">
        <v>59</v>
      </c>
      <c r="H106" s="35" t="s">
        <v>51</v>
      </c>
    </row>
    <row r="107" spans="1:8" ht="20.399999999999999">
      <c r="A107" s="192"/>
      <c r="B107" s="101"/>
      <c r="C107" s="228"/>
      <c r="D107" s="13" t="s">
        <v>216</v>
      </c>
      <c r="E107" s="14">
        <v>1</v>
      </c>
      <c r="F107" s="32" t="s">
        <v>193</v>
      </c>
      <c r="G107" s="35" t="s">
        <v>59</v>
      </c>
      <c r="H107" s="32" t="s">
        <v>217</v>
      </c>
    </row>
    <row r="108" spans="1:8">
      <c r="A108" s="192"/>
      <c r="B108" s="101"/>
      <c r="C108" s="228"/>
      <c r="D108" s="13" t="s">
        <v>218</v>
      </c>
      <c r="E108" s="14">
        <v>1</v>
      </c>
      <c r="F108" s="35" t="s">
        <v>59</v>
      </c>
      <c r="G108" s="32" t="s">
        <v>154</v>
      </c>
      <c r="H108" s="35" t="s">
        <v>67</v>
      </c>
    </row>
    <row r="109" spans="1:8" ht="20.399999999999999">
      <c r="A109" s="192"/>
      <c r="B109" s="101"/>
      <c r="C109" s="228"/>
      <c r="D109" s="13" t="s">
        <v>219</v>
      </c>
      <c r="E109" s="14">
        <v>1</v>
      </c>
      <c r="F109" s="35" t="s">
        <v>51</v>
      </c>
      <c r="G109" s="32" t="s">
        <v>220</v>
      </c>
      <c r="H109" s="35" t="s">
        <v>59</v>
      </c>
    </row>
    <row r="110" spans="1:8" ht="30.6">
      <c r="A110" s="193"/>
      <c r="B110" s="102"/>
      <c r="C110" s="199"/>
      <c r="D110" s="41" t="s">
        <v>221</v>
      </c>
      <c r="E110" s="14">
        <v>1</v>
      </c>
      <c r="F110" s="32" t="s">
        <v>147</v>
      </c>
      <c r="G110" s="35" t="s">
        <v>51</v>
      </c>
      <c r="H110" s="32" t="s">
        <v>159</v>
      </c>
    </row>
    <row r="111" spans="1:8" ht="40.799999999999997">
      <c r="A111" s="101"/>
      <c r="B111" s="101"/>
      <c r="C111" s="114"/>
      <c r="D111" s="13" t="s">
        <v>222</v>
      </c>
      <c r="E111" s="15">
        <v>1</v>
      </c>
      <c r="F111" s="8" t="s">
        <v>223</v>
      </c>
      <c r="G111" s="8" t="s">
        <v>223</v>
      </c>
      <c r="H111" s="8" t="s">
        <v>223</v>
      </c>
    </row>
    <row r="112" spans="1:8" ht="40.799999999999997">
      <c r="A112" s="101"/>
      <c r="B112" s="101"/>
      <c r="C112" s="114"/>
      <c r="D112" s="13" t="s">
        <v>222</v>
      </c>
      <c r="E112" s="15">
        <v>1</v>
      </c>
      <c r="F112" s="8" t="s">
        <v>223</v>
      </c>
      <c r="G112" s="8" t="s">
        <v>223</v>
      </c>
      <c r="H112" s="8" t="s">
        <v>223</v>
      </c>
    </row>
    <row r="113" spans="1:8">
      <c r="A113" s="113"/>
      <c r="B113" s="113"/>
      <c r="C113" s="113"/>
      <c r="D113" s="7" t="s">
        <v>224</v>
      </c>
      <c r="E113" s="14">
        <v>3</v>
      </c>
      <c r="F113" s="5" t="s">
        <v>223</v>
      </c>
      <c r="G113" s="5" t="s">
        <v>223</v>
      </c>
      <c r="H113" s="5" t="s">
        <v>223</v>
      </c>
    </row>
    <row r="114" spans="1:8">
      <c r="A114" s="113"/>
      <c r="B114" s="113"/>
      <c r="C114" s="113"/>
      <c r="D114" s="7" t="s">
        <v>224</v>
      </c>
      <c r="E114" s="14">
        <v>3</v>
      </c>
      <c r="F114" s="5" t="s">
        <v>223</v>
      </c>
      <c r="G114" s="5" t="s">
        <v>223</v>
      </c>
      <c r="H114" s="5" t="s">
        <v>223</v>
      </c>
    </row>
    <row r="115" spans="1:8">
      <c r="A115" s="113"/>
      <c r="B115" s="113"/>
      <c r="C115" s="113"/>
      <c r="D115" s="7" t="s">
        <v>224</v>
      </c>
      <c r="E115" s="14">
        <v>3</v>
      </c>
      <c r="F115" s="5" t="s">
        <v>223</v>
      </c>
      <c r="G115" s="5" t="s">
        <v>223</v>
      </c>
      <c r="H115" s="5" t="s">
        <v>223</v>
      </c>
    </row>
    <row r="116" spans="1:8">
      <c r="A116" s="215">
        <v>5</v>
      </c>
      <c r="B116" s="105"/>
      <c r="C116" s="217" t="s">
        <v>188</v>
      </c>
      <c r="D116" s="13" t="s">
        <v>225</v>
      </c>
      <c r="E116" s="15">
        <v>3</v>
      </c>
      <c r="F116" s="8" t="s">
        <v>223</v>
      </c>
      <c r="G116" s="8" t="s">
        <v>223</v>
      </c>
      <c r="H116" s="8" t="s">
        <v>223</v>
      </c>
    </row>
    <row r="117" spans="1:8">
      <c r="A117" s="215"/>
      <c r="B117" s="105"/>
      <c r="C117" s="217"/>
      <c r="D117" s="13" t="s">
        <v>225</v>
      </c>
      <c r="E117" s="15">
        <v>3</v>
      </c>
      <c r="F117" s="8" t="s">
        <v>223</v>
      </c>
      <c r="G117" s="8" t="s">
        <v>223</v>
      </c>
      <c r="H117" s="8" t="s">
        <v>223</v>
      </c>
    </row>
    <row r="118" spans="1:8">
      <c r="A118" s="215"/>
      <c r="B118" s="105"/>
      <c r="C118" s="217"/>
      <c r="D118" s="13" t="s">
        <v>225</v>
      </c>
      <c r="E118" s="15">
        <v>3</v>
      </c>
      <c r="F118" s="8" t="s">
        <v>223</v>
      </c>
      <c r="G118" s="8" t="s">
        <v>223</v>
      </c>
      <c r="H118" s="8" t="s">
        <v>223</v>
      </c>
    </row>
    <row r="119" spans="1:8" ht="30.6">
      <c r="A119" s="215"/>
      <c r="B119" s="105"/>
      <c r="C119" s="217"/>
      <c r="D119" s="10" t="s">
        <v>226</v>
      </c>
      <c r="E119" s="14">
        <v>3</v>
      </c>
      <c r="F119" s="5" t="s">
        <v>223</v>
      </c>
      <c r="G119" s="5" t="s">
        <v>223</v>
      </c>
      <c r="H119" s="5" t="s">
        <v>223</v>
      </c>
    </row>
    <row r="120" spans="1:8" ht="30.6">
      <c r="A120" s="215"/>
      <c r="B120" s="105"/>
      <c r="C120" s="217"/>
      <c r="D120" s="10" t="s">
        <v>226</v>
      </c>
      <c r="E120" s="14">
        <v>3</v>
      </c>
      <c r="F120" s="5" t="s">
        <v>223</v>
      </c>
      <c r="G120" s="5" t="s">
        <v>223</v>
      </c>
      <c r="H120" s="5" t="s">
        <v>223</v>
      </c>
    </row>
    <row r="121" spans="1:8" ht="30.6">
      <c r="A121" s="215"/>
      <c r="B121" s="105"/>
      <c r="C121" s="217"/>
      <c r="D121" s="10" t="s">
        <v>226</v>
      </c>
      <c r="E121" s="14">
        <v>3</v>
      </c>
      <c r="F121" s="5" t="s">
        <v>223</v>
      </c>
      <c r="G121" s="5" t="s">
        <v>223</v>
      </c>
      <c r="H121" s="5" t="s">
        <v>223</v>
      </c>
    </row>
    <row r="122" spans="1:8">
      <c r="A122" s="216"/>
      <c r="B122" s="106"/>
      <c r="C122" s="218"/>
      <c r="D122" s="7" t="s">
        <v>227</v>
      </c>
      <c r="E122" s="14">
        <v>3</v>
      </c>
      <c r="F122" s="5" t="s">
        <v>223</v>
      </c>
      <c r="G122" s="5" t="s">
        <v>223</v>
      </c>
      <c r="H122" s="5" t="s">
        <v>223</v>
      </c>
    </row>
    <row r="123" spans="1:8">
      <c r="A123" s="105"/>
      <c r="B123" s="106"/>
      <c r="C123" s="107"/>
      <c r="D123" s="7" t="s">
        <v>227</v>
      </c>
      <c r="E123" s="14">
        <v>3</v>
      </c>
      <c r="F123" s="5" t="s">
        <v>223</v>
      </c>
      <c r="G123" s="5" t="s">
        <v>223</v>
      </c>
      <c r="H123" s="5" t="s">
        <v>223</v>
      </c>
    </row>
    <row r="124" spans="1:8">
      <c r="A124" s="105"/>
      <c r="B124" s="106"/>
      <c r="C124" s="107"/>
      <c r="D124" s="7" t="s">
        <v>227</v>
      </c>
      <c r="E124" s="14">
        <v>3</v>
      </c>
      <c r="F124" s="5" t="s">
        <v>223</v>
      </c>
      <c r="G124" s="5" t="s">
        <v>223</v>
      </c>
      <c r="H124" s="5" t="s">
        <v>223</v>
      </c>
    </row>
    <row r="125" spans="1:8" ht="30.6">
      <c r="A125" s="191">
        <v>6</v>
      </c>
      <c r="B125" s="100"/>
      <c r="C125" s="212" t="s">
        <v>188</v>
      </c>
      <c r="D125" s="10" t="s">
        <v>228</v>
      </c>
      <c r="E125" s="14">
        <v>3</v>
      </c>
      <c r="F125" s="5" t="s">
        <v>223</v>
      </c>
      <c r="G125" s="5" t="s">
        <v>223</v>
      </c>
      <c r="H125" s="5" t="s">
        <v>223</v>
      </c>
    </row>
    <row r="126" spans="1:8" ht="30.6">
      <c r="A126" s="192"/>
      <c r="B126" s="100"/>
      <c r="C126" s="213"/>
      <c r="D126" s="10" t="s">
        <v>228</v>
      </c>
      <c r="E126" s="14">
        <v>3</v>
      </c>
      <c r="F126" s="5" t="s">
        <v>223</v>
      </c>
      <c r="G126" s="5" t="s">
        <v>223</v>
      </c>
      <c r="H126" s="5" t="s">
        <v>223</v>
      </c>
    </row>
    <row r="127" spans="1:8" ht="30.6">
      <c r="A127" s="192"/>
      <c r="B127" s="100"/>
      <c r="C127" s="213"/>
      <c r="D127" s="10" t="s">
        <v>228</v>
      </c>
      <c r="E127" s="14">
        <v>3</v>
      </c>
      <c r="F127" s="5" t="s">
        <v>223</v>
      </c>
      <c r="G127" s="5" t="s">
        <v>223</v>
      </c>
      <c r="H127" s="5" t="s">
        <v>223</v>
      </c>
    </row>
    <row r="128" spans="1:8" ht="30.6">
      <c r="A128" s="193"/>
      <c r="B128" s="102"/>
      <c r="C128" s="214"/>
      <c r="D128" s="10" t="s">
        <v>229</v>
      </c>
      <c r="E128" s="14">
        <v>3</v>
      </c>
      <c r="F128" s="5" t="s">
        <v>223</v>
      </c>
      <c r="G128" s="5" t="s">
        <v>223</v>
      </c>
      <c r="H128" s="5" t="s">
        <v>223</v>
      </c>
    </row>
    <row r="129" spans="1:8" ht="30.6">
      <c r="A129" s="101"/>
      <c r="B129" s="102"/>
      <c r="C129" s="108"/>
      <c r="D129" s="10" t="s">
        <v>229</v>
      </c>
      <c r="E129" s="14">
        <v>3</v>
      </c>
      <c r="F129" s="5" t="s">
        <v>223</v>
      </c>
      <c r="G129" s="5" t="s">
        <v>223</v>
      </c>
      <c r="H129" s="5" t="s">
        <v>223</v>
      </c>
    </row>
    <row r="130" spans="1:8" ht="30.6">
      <c r="A130" s="101"/>
      <c r="B130" s="102"/>
      <c r="C130" s="108"/>
      <c r="D130" s="10" t="s">
        <v>229</v>
      </c>
      <c r="E130" s="14">
        <v>3</v>
      </c>
      <c r="F130" s="5" t="s">
        <v>223</v>
      </c>
      <c r="G130" s="5" t="s">
        <v>223</v>
      </c>
      <c r="H130" s="5" t="s">
        <v>223</v>
      </c>
    </row>
    <row r="131" spans="1:8" ht="51">
      <c r="A131" s="191">
        <v>7</v>
      </c>
      <c r="B131" s="100"/>
      <c r="C131" s="212" t="s">
        <v>230</v>
      </c>
      <c r="D131" s="10" t="s">
        <v>231</v>
      </c>
      <c r="E131" s="15">
        <v>2</v>
      </c>
      <c r="F131" s="8" t="s">
        <v>232</v>
      </c>
      <c r="G131" s="8" t="s">
        <v>232</v>
      </c>
      <c r="H131" s="8" t="s">
        <v>232</v>
      </c>
    </row>
    <row r="132" spans="1:8" ht="51">
      <c r="A132" s="192"/>
      <c r="B132" s="100"/>
      <c r="C132" s="213"/>
      <c r="D132" s="10" t="s">
        <v>231</v>
      </c>
      <c r="E132" s="15">
        <v>2</v>
      </c>
      <c r="F132" s="8" t="s">
        <v>232</v>
      </c>
      <c r="G132" s="8" t="s">
        <v>232</v>
      </c>
      <c r="H132" s="8" t="s">
        <v>232</v>
      </c>
    </row>
    <row r="133" spans="1:8" ht="30.6">
      <c r="A133" s="192"/>
      <c r="B133" s="101"/>
      <c r="C133" s="213"/>
      <c r="D133" s="10" t="s">
        <v>233</v>
      </c>
      <c r="E133" s="14">
        <v>2</v>
      </c>
      <c r="F133" s="5" t="s">
        <v>232</v>
      </c>
      <c r="G133" s="5" t="s">
        <v>232</v>
      </c>
      <c r="H133" s="5" t="s">
        <v>232</v>
      </c>
    </row>
    <row r="134" spans="1:8" ht="30.6">
      <c r="A134" s="192"/>
      <c r="B134" s="101"/>
      <c r="C134" s="213"/>
      <c r="D134" s="10" t="s">
        <v>233</v>
      </c>
      <c r="E134" s="14">
        <v>2</v>
      </c>
      <c r="F134" s="5" t="s">
        <v>232</v>
      </c>
      <c r="G134" s="5" t="s">
        <v>232</v>
      </c>
      <c r="H134" s="5" t="s">
        <v>232</v>
      </c>
    </row>
    <row r="135" spans="1:8" ht="30.6">
      <c r="A135" s="192"/>
      <c r="B135" s="101"/>
      <c r="C135" s="213"/>
      <c r="D135" s="10" t="s">
        <v>234</v>
      </c>
      <c r="E135" s="14">
        <v>2</v>
      </c>
      <c r="F135" s="5" t="s">
        <v>232</v>
      </c>
      <c r="G135" s="5" t="s">
        <v>232</v>
      </c>
      <c r="H135" s="5" t="s">
        <v>232</v>
      </c>
    </row>
    <row r="136" spans="1:8" ht="30.6">
      <c r="A136" s="192"/>
      <c r="B136" s="101"/>
      <c r="C136" s="213"/>
      <c r="D136" s="10" t="s">
        <v>234</v>
      </c>
      <c r="E136" s="14">
        <v>2</v>
      </c>
      <c r="F136" s="5" t="s">
        <v>232</v>
      </c>
      <c r="G136" s="5" t="s">
        <v>232</v>
      </c>
      <c r="H136" s="5" t="s">
        <v>232</v>
      </c>
    </row>
    <row r="137" spans="1:8" ht="20.399999999999999">
      <c r="A137" s="192"/>
      <c r="B137" s="101"/>
      <c r="C137" s="213"/>
      <c r="D137" s="7" t="s">
        <v>235</v>
      </c>
      <c r="E137" s="14">
        <v>2</v>
      </c>
      <c r="F137" s="5" t="s">
        <v>232</v>
      </c>
      <c r="G137" s="5" t="s">
        <v>232</v>
      </c>
      <c r="H137" s="5" t="s">
        <v>232</v>
      </c>
    </row>
    <row r="138" spans="1:8" ht="20.399999999999999">
      <c r="A138" s="192"/>
      <c r="B138" s="101"/>
      <c r="C138" s="213"/>
      <c r="D138" s="7" t="s">
        <v>235</v>
      </c>
      <c r="E138" s="14">
        <v>2</v>
      </c>
      <c r="F138" s="5" t="s">
        <v>232</v>
      </c>
      <c r="G138" s="5" t="s">
        <v>232</v>
      </c>
      <c r="H138" s="5" t="s">
        <v>232</v>
      </c>
    </row>
    <row r="139" spans="1:8" ht="20.399999999999999">
      <c r="A139" s="193"/>
      <c r="B139" s="102"/>
      <c r="C139" s="214"/>
      <c r="D139" s="7" t="s">
        <v>236</v>
      </c>
      <c r="E139" s="14">
        <v>2</v>
      </c>
      <c r="F139" s="5" t="s">
        <v>232</v>
      </c>
      <c r="G139" s="5" t="s">
        <v>232</v>
      </c>
      <c r="H139" s="5" t="s">
        <v>232</v>
      </c>
    </row>
    <row r="140" spans="1:8" ht="20.399999999999999">
      <c r="A140" s="101"/>
      <c r="B140" s="102"/>
      <c r="C140" s="108"/>
      <c r="D140" s="7" t="s">
        <v>236</v>
      </c>
      <c r="E140" s="14">
        <v>2</v>
      </c>
      <c r="F140" s="5" t="s">
        <v>232</v>
      </c>
      <c r="G140" s="5" t="s">
        <v>232</v>
      </c>
      <c r="H140" s="5" t="s">
        <v>232</v>
      </c>
    </row>
    <row r="141" spans="1:8">
      <c r="A141" s="225">
        <v>8</v>
      </c>
      <c r="B141" s="104"/>
      <c r="C141" s="212" t="s">
        <v>237</v>
      </c>
      <c r="D141" s="7" t="s">
        <v>238</v>
      </c>
      <c r="E141" s="14">
        <v>2</v>
      </c>
      <c r="F141" s="5" t="s">
        <v>232</v>
      </c>
      <c r="G141" s="5" t="s">
        <v>232</v>
      </c>
      <c r="H141" s="5" t="s">
        <v>232</v>
      </c>
    </row>
    <row r="142" spans="1:8">
      <c r="A142" s="215"/>
      <c r="B142" s="104"/>
      <c r="C142" s="213"/>
      <c r="D142" s="7" t="s">
        <v>238</v>
      </c>
      <c r="E142" s="14">
        <v>2</v>
      </c>
      <c r="F142" s="5" t="s">
        <v>232</v>
      </c>
      <c r="G142" s="5" t="s">
        <v>232</v>
      </c>
      <c r="H142" s="5" t="s">
        <v>232</v>
      </c>
    </row>
    <row r="143" spans="1:8">
      <c r="A143" s="215"/>
      <c r="B143" s="105"/>
      <c r="C143" s="213"/>
      <c r="D143" s="7" t="s">
        <v>239</v>
      </c>
      <c r="E143" s="14">
        <v>1</v>
      </c>
      <c r="F143" s="5" t="s">
        <v>232</v>
      </c>
      <c r="G143" s="5" t="s">
        <v>232</v>
      </c>
      <c r="H143" s="5" t="s">
        <v>232</v>
      </c>
    </row>
    <row r="144" spans="1:8">
      <c r="A144" s="215"/>
      <c r="B144" s="105"/>
      <c r="C144" s="213"/>
      <c r="D144" s="7" t="s">
        <v>240</v>
      </c>
      <c r="E144" s="14">
        <v>1</v>
      </c>
      <c r="F144" s="5" t="s">
        <v>232</v>
      </c>
      <c r="G144" s="5" t="s">
        <v>232</v>
      </c>
      <c r="H144" s="5" t="s">
        <v>232</v>
      </c>
    </row>
    <row r="145" spans="1:8">
      <c r="A145" s="216"/>
      <c r="B145" s="106"/>
      <c r="C145" s="214"/>
      <c r="D145" s="7" t="s">
        <v>241</v>
      </c>
      <c r="E145" s="14">
        <v>2</v>
      </c>
      <c r="F145" s="5" t="s">
        <v>232</v>
      </c>
      <c r="G145" s="5" t="s">
        <v>232</v>
      </c>
      <c r="H145" s="5" t="s">
        <v>232</v>
      </c>
    </row>
    <row r="146" spans="1:8">
      <c r="A146" s="105"/>
      <c r="B146" s="106"/>
      <c r="C146" s="108"/>
      <c r="D146" s="7" t="s">
        <v>241</v>
      </c>
      <c r="E146" s="14">
        <v>2</v>
      </c>
      <c r="F146" s="5" t="s">
        <v>232</v>
      </c>
      <c r="G146" s="5" t="s">
        <v>232</v>
      </c>
      <c r="H146" s="5" t="s">
        <v>232</v>
      </c>
    </row>
    <row r="147" spans="1:8">
      <c r="A147" s="225">
        <v>1</v>
      </c>
      <c r="B147" s="104"/>
      <c r="C147" s="226" t="s">
        <v>190</v>
      </c>
      <c r="D147" s="7" t="s">
        <v>242</v>
      </c>
      <c r="E147" s="14">
        <v>1</v>
      </c>
      <c r="F147" s="11" t="s">
        <v>46</v>
      </c>
      <c r="G147" s="11" t="s">
        <v>58</v>
      </c>
      <c r="H147" s="5" t="s">
        <v>51</v>
      </c>
    </row>
    <row r="148" spans="1:8" ht="30.6">
      <c r="A148" s="215"/>
      <c r="B148" s="105"/>
      <c r="C148" s="217"/>
      <c r="D148" s="10" t="s">
        <v>243</v>
      </c>
      <c r="E148" s="14">
        <v>1</v>
      </c>
      <c r="F148" s="5" t="s">
        <v>193</v>
      </c>
      <c r="G148" s="11" t="s">
        <v>60</v>
      </c>
      <c r="H148" s="11" t="s">
        <v>46</v>
      </c>
    </row>
    <row r="149" spans="1:8" ht="20.399999999999999">
      <c r="A149" s="216"/>
      <c r="B149" s="106"/>
      <c r="C149" s="218"/>
      <c r="D149" s="7" t="s">
        <v>244</v>
      </c>
      <c r="E149" s="14">
        <v>2</v>
      </c>
      <c r="F149" s="5" t="s">
        <v>193</v>
      </c>
      <c r="G149" s="11" t="s">
        <v>64</v>
      </c>
      <c r="H149" s="11" t="s">
        <v>46</v>
      </c>
    </row>
    <row r="150" spans="1:8" ht="20.399999999999999">
      <c r="A150" s="105"/>
      <c r="B150" s="106"/>
      <c r="C150" s="107"/>
      <c r="D150" s="7" t="s">
        <v>244</v>
      </c>
      <c r="E150" s="14">
        <v>2</v>
      </c>
      <c r="F150" s="5" t="s">
        <v>193</v>
      </c>
      <c r="G150" s="11" t="s">
        <v>64</v>
      </c>
      <c r="H150" s="11" t="s">
        <v>46</v>
      </c>
    </row>
    <row r="151" spans="1:8" ht="20.399999999999999">
      <c r="A151" s="191">
        <v>2</v>
      </c>
      <c r="B151" s="100"/>
      <c r="C151" s="219" t="s">
        <v>245</v>
      </c>
      <c r="D151" s="7" t="s">
        <v>246</v>
      </c>
      <c r="E151" s="14">
        <v>2</v>
      </c>
      <c r="F151" s="11" t="s">
        <v>59</v>
      </c>
      <c r="G151" s="11" t="s">
        <v>60</v>
      </c>
      <c r="H151" s="5" t="s">
        <v>51</v>
      </c>
    </row>
    <row r="152" spans="1:8" ht="20.399999999999999">
      <c r="A152" s="192"/>
      <c r="B152" s="100"/>
      <c r="C152" s="220"/>
      <c r="D152" s="7" t="s">
        <v>246</v>
      </c>
      <c r="E152" s="14">
        <v>2</v>
      </c>
      <c r="F152" s="11" t="s">
        <v>59</v>
      </c>
      <c r="G152" s="11" t="s">
        <v>60</v>
      </c>
      <c r="H152" s="5" t="s">
        <v>51</v>
      </c>
    </row>
    <row r="153" spans="1:8" ht="20.399999999999999">
      <c r="A153" s="192"/>
      <c r="B153" s="101"/>
      <c r="C153" s="220"/>
      <c r="D153" s="7" t="s">
        <v>247</v>
      </c>
      <c r="E153" s="14">
        <v>1</v>
      </c>
      <c r="F153" s="5" t="s">
        <v>60</v>
      </c>
      <c r="G153" s="5" t="s">
        <v>62</v>
      </c>
      <c r="H153" s="5" t="s">
        <v>193</v>
      </c>
    </row>
    <row r="154" spans="1:8" ht="20.399999999999999">
      <c r="A154" s="192"/>
      <c r="B154" s="101"/>
      <c r="C154" s="220"/>
      <c r="D154" s="7" t="s">
        <v>248</v>
      </c>
      <c r="E154" s="14">
        <v>1</v>
      </c>
      <c r="F154" s="5" t="s">
        <v>62</v>
      </c>
      <c r="G154" s="5" t="s">
        <v>59</v>
      </c>
      <c r="H154" s="5" t="s">
        <v>61</v>
      </c>
    </row>
    <row r="155" spans="1:8">
      <c r="A155" s="192"/>
      <c r="B155" s="101"/>
      <c r="C155" s="220"/>
      <c r="D155" s="7" t="s">
        <v>249</v>
      </c>
      <c r="E155" s="14">
        <v>1</v>
      </c>
      <c r="F155" s="5" t="s">
        <v>48</v>
      </c>
      <c r="G155" s="5" t="s">
        <v>61</v>
      </c>
      <c r="H155" s="5" t="s">
        <v>51</v>
      </c>
    </row>
    <row r="156" spans="1:8">
      <c r="A156" s="192"/>
      <c r="B156" s="101"/>
      <c r="C156" s="220"/>
      <c r="D156" s="7" t="s">
        <v>250</v>
      </c>
      <c r="E156" s="14">
        <v>1</v>
      </c>
      <c r="F156" s="5" t="s">
        <v>64</v>
      </c>
      <c r="G156" s="5" t="s">
        <v>56</v>
      </c>
      <c r="H156" s="5" t="s">
        <v>60</v>
      </c>
    </row>
    <row r="157" spans="1:8">
      <c r="A157" s="192"/>
      <c r="B157" s="101"/>
      <c r="C157" s="220"/>
      <c r="D157" s="7" t="s">
        <v>251</v>
      </c>
      <c r="E157" s="14">
        <v>1</v>
      </c>
      <c r="F157" s="5" t="s">
        <v>65</v>
      </c>
      <c r="G157" s="5" t="s">
        <v>51</v>
      </c>
      <c r="H157" s="5" t="s">
        <v>59</v>
      </c>
    </row>
    <row r="158" spans="1:8" ht="30.6">
      <c r="A158" s="192"/>
      <c r="B158" s="101"/>
      <c r="C158" s="220"/>
      <c r="D158" s="10" t="s">
        <v>252</v>
      </c>
      <c r="E158" s="14">
        <v>2</v>
      </c>
      <c r="F158" s="5" t="s">
        <v>58</v>
      </c>
      <c r="G158" s="5" t="s">
        <v>56</v>
      </c>
      <c r="H158" s="5" t="s">
        <v>66</v>
      </c>
    </row>
    <row r="159" spans="1:8" ht="30.6">
      <c r="A159" s="192"/>
      <c r="B159" s="101"/>
      <c r="C159" s="220"/>
      <c r="D159" s="10" t="s">
        <v>252</v>
      </c>
      <c r="E159" s="14">
        <v>2</v>
      </c>
      <c r="F159" s="5" t="s">
        <v>58</v>
      </c>
      <c r="G159" s="5" t="s">
        <v>56</v>
      </c>
      <c r="H159" s="5" t="s">
        <v>66</v>
      </c>
    </row>
    <row r="160" spans="1:8">
      <c r="A160" s="193"/>
      <c r="B160" s="102"/>
      <c r="C160" s="221"/>
      <c r="D160" s="7" t="s">
        <v>253</v>
      </c>
      <c r="E160" s="14">
        <v>1</v>
      </c>
      <c r="F160" s="5" t="s">
        <v>59</v>
      </c>
      <c r="G160" s="5" t="s">
        <v>56</v>
      </c>
      <c r="H160" s="5" t="s">
        <v>67</v>
      </c>
    </row>
    <row r="161" spans="1:8" ht="14.4" customHeight="1">
      <c r="A161" s="191">
        <v>3</v>
      </c>
      <c r="B161" s="100"/>
      <c r="C161" s="212" t="s">
        <v>206</v>
      </c>
      <c r="D161" s="7" t="s">
        <v>254</v>
      </c>
      <c r="E161" s="14">
        <v>1</v>
      </c>
      <c r="F161" s="5" t="s">
        <v>159</v>
      </c>
      <c r="G161" s="5" t="s">
        <v>147</v>
      </c>
      <c r="H161" s="11" t="s">
        <v>59</v>
      </c>
    </row>
    <row r="162" spans="1:8" ht="30.6">
      <c r="A162" s="192"/>
      <c r="B162" s="101"/>
      <c r="C162" s="213"/>
      <c r="D162" s="10" t="s">
        <v>255</v>
      </c>
      <c r="E162" s="14">
        <v>1</v>
      </c>
      <c r="F162" s="5" t="s">
        <v>159</v>
      </c>
      <c r="G162" s="11" t="s">
        <v>51</v>
      </c>
      <c r="H162" s="5" t="s">
        <v>256</v>
      </c>
    </row>
    <row r="163" spans="1:8" ht="61.2">
      <c r="A163" s="192"/>
      <c r="B163" s="101"/>
      <c r="C163" s="213"/>
      <c r="D163" s="12" t="s">
        <v>72</v>
      </c>
      <c r="E163" s="14">
        <v>2</v>
      </c>
      <c r="F163" s="5" t="s">
        <v>207</v>
      </c>
      <c r="G163" s="5" t="s">
        <v>147</v>
      </c>
      <c r="H163" s="11" t="s">
        <v>51</v>
      </c>
    </row>
    <row r="164" spans="1:8" ht="61.2">
      <c r="A164" s="192"/>
      <c r="B164" s="101"/>
      <c r="C164" s="213"/>
      <c r="D164" s="12" t="s">
        <v>72</v>
      </c>
      <c r="E164" s="14">
        <v>2</v>
      </c>
      <c r="F164" s="5" t="s">
        <v>207</v>
      </c>
      <c r="G164" s="5" t="s">
        <v>147</v>
      </c>
      <c r="H164" s="11" t="s">
        <v>51</v>
      </c>
    </row>
    <row r="165" spans="1:8" ht="20.399999999999999">
      <c r="A165" s="192"/>
      <c r="B165" s="101"/>
      <c r="C165" s="213"/>
      <c r="D165" s="12" t="s">
        <v>73</v>
      </c>
      <c r="E165" s="14">
        <v>1</v>
      </c>
      <c r="F165" s="11" t="s">
        <v>62</v>
      </c>
      <c r="G165" s="11" t="s">
        <v>61</v>
      </c>
      <c r="H165" s="11" t="s">
        <v>60</v>
      </c>
    </row>
    <row r="166" spans="1:8" ht="20.399999999999999">
      <c r="A166" s="192"/>
      <c r="B166" s="101"/>
      <c r="C166" s="213"/>
      <c r="D166" s="12" t="s">
        <v>74</v>
      </c>
      <c r="E166" s="14">
        <v>1</v>
      </c>
      <c r="F166" s="5" t="s">
        <v>257</v>
      </c>
      <c r="G166" s="11" t="s">
        <v>60</v>
      </c>
      <c r="H166" s="5" t="s">
        <v>65</v>
      </c>
    </row>
    <row r="167" spans="1:8" ht="20.399999999999999">
      <c r="A167" s="192"/>
      <c r="B167" s="101"/>
      <c r="C167" s="213"/>
      <c r="D167" s="12" t="s">
        <v>75</v>
      </c>
      <c r="E167" s="14">
        <v>1</v>
      </c>
      <c r="F167" s="11" t="s">
        <v>60</v>
      </c>
      <c r="G167" s="5" t="s">
        <v>65</v>
      </c>
      <c r="H167" s="11" t="s">
        <v>48</v>
      </c>
    </row>
    <row r="168" spans="1:8" ht="30.6">
      <c r="A168" s="192"/>
      <c r="B168" s="101"/>
      <c r="C168" s="213"/>
      <c r="D168" s="12" t="s">
        <v>76</v>
      </c>
      <c r="E168" s="14">
        <v>1</v>
      </c>
      <c r="F168" s="11" t="s">
        <v>60</v>
      </c>
      <c r="G168" s="11" t="s">
        <v>51</v>
      </c>
      <c r="H168" s="11" t="s">
        <v>62</v>
      </c>
    </row>
    <row r="169" spans="1:8" ht="30.6">
      <c r="A169" s="192"/>
      <c r="B169" s="101"/>
      <c r="C169" s="213"/>
      <c r="D169" s="12" t="s">
        <v>77</v>
      </c>
      <c r="E169" s="14">
        <v>1</v>
      </c>
      <c r="F169" s="11" t="s">
        <v>60</v>
      </c>
      <c r="G169" s="11" t="s">
        <v>66</v>
      </c>
      <c r="H169" s="11" t="s">
        <v>58</v>
      </c>
    </row>
    <row r="170" spans="1:8">
      <c r="A170" s="193"/>
      <c r="B170" s="102"/>
      <c r="C170" s="214"/>
      <c r="D170" s="7" t="s">
        <v>258</v>
      </c>
      <c r="E170" s="14">
        <v>1</v>
      </c>
      <c r="F170" s="5" t="s">
        <v>148</v>
      </c>
      <c r="G170" s="11" t="s">
        <v>59</v>
      </c>
      <c r="H170" s="5" t="s">
        <v>207</v>
      </c>
    </row>
    <row r="171" spans="1:8" ht="14.4" customHeight="1">
      <c r="A171" s="191">
        <v>4</v>
      </c>
      <c r="B171" s="100"/>
      <c r="C171" s="222" t="s">
        <v>211</v>
      </c>
      <c r="D171" s="7" t="s">
        <v>259</v>
      </c>
      <c r="E171" s="14">
        <v>1</v>
      </c>
      <c r="F171" s="11" t="s">
        <v>64</v>
      </c>
      <c r="G171" s="5" t="s">
        <v>208</v>
      </c>
      <c r="H171" s="5" t="s">
        <v>207</v>
      </c>
    </row>
    <row r="172" spans="1:8" ht="20.399999999999999">
      <c r="A172" s="192"/>
      <c r="B172" s="101"/>
      <c r="C172" s="223"/>
      <c r="D172" s="7" t="s">
        <v>260</v>
      </c>
      <c r="E172" s="14">
        <v>1</v>
      </c>
      <c r="F172" s="5" t="s">
        <v>154</v>
      </c>
      <c r="G172" s="11" t="s">
        <v>60</v>
      </c>
      <c r="H172" s="5" t="s">
        <v>257</v>
      </c>
    </row>
    <row r="173" spans="1:8" ht="20.399999999999999">
      <c r="A173" s="192"/>
      <c r="B173" s="101"/>
      <c r="C173" s="223"/>
      <c r="D173" s="7" t="s">
        <v>261</v>
      </c>
      <c r="E173" s="14">
        <v>1</v>
      </c>
      <c r="F173" s="11" t="s">
        <v>60</v>
      </c>
      <c r="G173" s="11" t="s">
        <v>61</v>
      </c>
      <c r="H173" s="5" t="s">
        <v>208</v>
      </c>
    </row>
    <row r="174" spans="1:8" ht="30.6">
      <c r="A174" s="192"/>
      <c r="B174" s="101"/>
      <c r="C174" s="223"/>
      <c r="D174" s="10" t="s">
        <v>262</v>
      </c>
      <c r="E174" s="14">
        <v>1</v>
      </c>
      <c r="F174" s="5" t="s">
        <v>208</v>
      </c>
      <c r="G174" s="11" t="s">
        <v>59</v>
      </c>
      <c r="H174" s="11" t="s">
        <v>61</v>
      </c>
    </row>
    <row r="175" spans="1:8" ht="20.399999999999999">
      <c r="A175" s="192"/>
      <c r="B175" s="101"/>
      <c r="C175" s="223"/>
      <c r="D175" s="7" t="s">
        <v>263</v>
      </c>
      <c r="E175" s="14">
        <v>1</v>
      </c>
      <c r="F175" s="5" t="s">
        <v>193</v>
      </c>
      <c r="G175" s="11" t="s">
        <v>64</v>
      </c>
      <c r="H175" s="5" t="s">
        <v>148</v>
      </c>
    </row>
    <row r="176" spans="1:8">
      <c r="A176" s="192"/>
      <c r="B176" s="101"/>
      <c r="C176" s="223"/>
      <c r="D176" s="7" t="s">
        <v>264</v>
      </c>
      <c r="E176" s="14">
        <v>1</v>
      </c>
      <c r="F176" s="5" t="s">
        <v>59</v>
      </c>
      <c r="G176" s="5" t="s">
        <v>207</v>
      </c>
      <c r="H176" s="5" t="s">
        <v>65</v>
      </c>
    </row>
    <row r="177" spans="1:8">
      <c r="A177" s="192"/>
      <c r="B177" s="101"/>
      <c r="C177" s="223"/>
      <c r="D177" s="7" t="s">
        <v>265</v>
      </c>
      <c r="E177" s="14">
        <v>1</v>
      </c>
      <c r="F177" s="5" t="s">
        <v>207</v>
      </c>
      <c r="G177" s="5" t="s">
        <v>59</v>
      </c>
      <c r="H177" s="11" t="s">
        <v>51</v>
      </c>
    </row>
    <row r="178" spans="1:8" ht="30.6">
      <c r="A178" s="192"/>
      <c r="B178" s="101"/>
      <c r="C178" s="223"/>
      <c r="D178" s="10" t="s">
        <v>266</v>
      </c>
      <c r="E178" s="14">
        <v>1</v>
      </c>
      <c r="F178" s="5" t="s">
        <v>147</v>
      </c>
      <c r="G178" s="5" t="s">
        <v>207</v>
      </c>
      <c r="H178" s="11" t="s">
        <v>59</v>
      </c>
    </row>
    <row r="179" spans="1:8" ht="30.6">
      <c r="A179" s="193"/>
      <c r="B179" s="102"/>
      <c r="C179" s="224"/>
      <c r="D179" s="10" t="s">
        <v>267</v>
      </c>
      <c r="E179" s="14">
        <v>1</v>
      </c>
      <c r="F179" s="11" t="s">
        <v>64</v>
      </c>
      <c r="G179" s="5" t="s">
        <v>159</v>
      </c>
      <c r="H179" s="5" t="s">
        <v>148</v>
      </c>
    </row>
    <row r="180" spans="1:8" ht="40.799999999999997">
      <c r="A180" s="191">
        <v>5</v>
      </c>
      <c r="B180" s="100"/>
      <c r="C180" s="212" t="s">
        <v>188</v>
      </c>
      <c r="D180" s="10" t="s">
        <v>268</v>
      </c>
      <c r="E180" s="15">
        <v>3</v>
      </c>
      <c r="F180" s="8" t="s">
        <v>223</v>
      </c>
      <c r="G180" s="8" t="s">
        <v>223</v>
      </c>
      <c r="H180" s="8" t="s">
        <v>223</v>
      </c>
    </row>
    <row r="181" spans="1:8" ht="40.799999999999997">
      <c r="A181" s="192"/>
      <c r="B181" s="100"/>
      <c r="C181" s="213"/>
      <c r="D181" s="10" t="s">
        <v>268</v>
      </c>
      <c r="E181" s="15">
        <v>3</v>
      </c>
      <c r="F181" s="8" t="s">
        <v>223</v>
      </c>
      <c r="G181" s="8" t="s">
        <v>223</v>
      </c>
      <c r="H181" s="8" t="s">
        <v>223</v>
      </c>
    </row>
    <row r="182" spans="1:8" ht="40.799999999999997">
      <c r="A182" s="192"/>
      <c r="B182" s="100"/>
      <c r="C182" s="213"/>
      <c r="D182" s="10" t="s">
        <v>268</v>
      </c>
      <c r="E182" s="15">
        <v>3</v>
      </c>
      <c r="F182" s="8" t="s">
        <v>223</v>
      </c>
      <c r="G182" s="8" t="s">
        <v>223</v>
      </c>
      <c r="H182" s="8" t="s">
        <v>223</v>
      </c>
    </row>
    <row r="183" spans="1:8" ht="20.399999999999999">
      <c r="A183" s="193"/>
      <c r="B183" s="102"/>
      <c r="C183" s="214"/>
      <c r="D183" s="7" t="s">
        <v>269</v>
      </c>
      <c r="E183" s="14">
        <v>3</v>
      </c>
      <c r="F183" s="5" t="s">
        <v>223</v>
      </c>
      <c r="G183" s="5" t="s">
        <v>223</v>
      </c>
      <c r="H183" s="5" t="s">
        <v>223</v>
      </c>
    </row>
    <row r="184" spans="1:8" ht="20.399999999999999">
      <c r="A184" s="101"/>
      <c r="B184" s="102"/>
      <c r="C184" s="108"/>
      <c r="D184" s="7" t="s">
        <v>269</v>
      </c>
      <c r="E184" s="14">
        <v>3</v>
      </c>
      <c r="F184" s="5" t="s">
        <v>223</v>
      </c>
      <c r="G184" s="5" t="s">
        <v>223</v>
      </c>
      <c r="H184" s="5" t="s">
        <v>223</v>
      </c>
    </row>
    <row r="185" spans="1:8" ht="20.399999999999999">
      <c r="A185" s="101"/>
      <c r="B185" s="102"/>
      <c r="C185" s="108"/>
      <c r="D185" s="7" t="s">
        <v>269</v>
      </c>
      <c r="E185" s="14">
        <v>3</v>
      </c>
      <c r="F185" s="5" t="s">
        <v>223</v>
      </c>
      <c r="G185" s="5" t="s">
        <v>223</v>
      </c>
      <c r="H185" s="5" t="s">
        <v>223</v>
      </c>
    </row>
    <row r="186" spans="1:8" ht="20.399999999999999">
      <c r="A186" s="17"/>
      <c r="B186" s="17"/>
      <c r="C186" s="17"/>
      <c r="D186" s="7" t="s">
        <v>270</v>
      </c>
      <c r="E186" s="15">
        <v>3</v>
      </c>
      <c r="F186" s="8" t="s">
        <v>223</v>
      </c>
      <c r="G186" s="8" t="s">
        <v>223</v>
      </c>
      <c r="H186" s="8" t="s">
        <v>223</v>
      </c>
    </row>
    <row r="187" spans="1:8" ht="20.399999999999999">
      <c r="A187" s="17"/>
      <c r="B187" s="17"/>
      <c r="C187" s="17"/>
      <c r="D187" s="7" t="s">
        <v>270</v>
      </c>
      <c r="E187" s="15">
        <v>3</v>
      </c>
      <c r="F187" s="8" t="s">
        <v>223</v>
      </c>
      <c r="G187" s="8" t="s">
        <v>223</v>
      </c>
      <c r="H187" s="8" t="s">
        <v>223</v>
      </c>
    </row>
    <row r="188" spans="1:8" ht="20.399999999999999">
      <c r="A188" s="17"/>
      <c r="B188" s="17"/>
      <c r="C188" s="17"/>
      <c r="D188" s="7" t="s">
        <v>270</v>
      </c>
      <c r="E188" s="15">
        <v>3</v>
      </c>
      <c r="F188" s="8" t="s">
        <v>223</v>
      </c>
      <c r="G188" s="8" t="s">
        <v>223</v>
      </c>
      <c r="H188" s="8" t="s">
        <v>223</v>
      </c>
    </row>
    <row r="189" spans="1:8" ht="40.799999999999997">
      <c r="A189" s="215">
        <v>6</v>
      </c>
      <c r="B189" s="105"/>
      <c r="C189" s="217" t="s">
        <v>188</v>
      </c>
      <c r="D189" s="10" t="s">
        <v>271</v>
      </c>
      <c r="E189" s="14">
        <v>3</v>
      </c>
      <c r="F189" s="5" t="s">
        <v>223</v>
      </c>
      <c r="G189" s="5" t="s">
        <v>223</v>
      </c>
      <c r="H189" s="5" t="s">
        <v>223</v>
      </c>
    </row>
    <row r="190" spans="1:8" ht="40.799999999999997">
      <c r="A190" s="215"/>
      <c r="B190" s="105"/>
      <c r="C190" s="217"/>
      <c r="D190" s="10" t="s">
        <v>271</v>
      </c>
      <c r="E190" s="14">
        <v>3</v>
      </c>
      <c r="F190" s="5" t="s">
        <v>223</v>
      </c>
      <c r="G190" s="5" t="s">
        <v>223</v>
      </c>
      <c r="H190" s="5" t="s">
        <v>223</v>
      </c>
    </row>
    <row r="191" spans="1:8" ht="40.799999999999997">
      <c r="A191" s="215"/>
      <c r="B191" s="105"/>
      <c r="C191" s="217"/>
      <c r="D191" s="10" t="s">
        <v>271</v>
      </c>
      <c r="E191" s="14">
        <v>3</v>
      </c>
      <c r="F191" s="5" t="s">
        <v>223</v>
      </c>
      <c r="G191" s="5" t="s">
        <v>223</v>
      </c>
      <c r="H191" s="5" t="s">
        <v>223</v>
      </c>
    </row>
    <row r="192" spans="1:8" ht="20.399999999999999">
      <c r="A192" s="215"/>
      <c r="B192" s="105"/>
      <c r="C192" s="217"/>
      <c r="D192" s="7" t="s">
        <v>272</v>
      </c>
      <c r="E192" s="14">
        <v>3</v>
      </c>
      <c r="F192" s="5" t="s">
        <v>223</v>
      </c>
      <c r="G192" s="5" t="s">
        <v>223</v>
      </c>
      <c r="H192" s="5" t="s">
        <v>223</v>
      </c>
    </row>
    <row r="193" spans="1:8" ht="20.399999999999999">
      <c r="A193" s="215"/>
      <c r="B193" s="105"/>
      <c r="C193" s="217"/>
      <c r="D193" s="7" t="s">
        <v>272</v>
      </c>
      <c r="E193" s="14">
        <v>3</v>
      </c>
      <c r="F193" s="5" t="s">
        <v>223</v>
      </c>
      <c r="G193" s="5" t="s">
        <v>223</v>
      </c>
      <c r="H193" s="5" t="s">
        <v>223</v>
      </c>
    </row>
    <row r="194" spans="1:8" ht="20.399999999999999">
      <c r="A194" s="215"/>
      <c r="B194" s="105"/>
      <c r="C194" s="217"/>
      <c r="D194" s="7" t="s">
        <v>272</v>
      </c>
      <c r="E194" s="14">
        <v>3</v>
      </c>
      <c r="F194" s="5" t="s">
        <v>223</v>
      </c>
      <c r="G194" s="5" t="s">
        <v>223</v>
      </c>
      <c r="H194" s="5" t="s">
        <v>223</v>
      </c>
    </row>
    <row r="195" spans="1:8">
      <c r="A195" s="216"/>
      <c r="B195" s="106"/>
      <c r="C195" s="218"/>
      <c r="D195" s="7" t="s">
        <v>273</v>
      </c>
      <c r="E195" s="14">
        <v>3</v>
      </c>
      <c r="F195" s="5" t="s">
        <v>223</v>
      </c>
      <c r="G195" s="5" t="s">
        <v>223</v>
      </c>
      <c r="H195" s="5" t="s">
        <v>223</v>
      </c>
    </row>
    <row r="196" spans="1:8">
      <c r="A196" s="105"/>
      <c r="B196" s="106"/>
      <c r="C196" s="107"/>
      <c r="D196" s="7" t="s">
        <v>273</v>
      </c>
      <c r="E196" s="14">
        <v>3</v>
      </c>
      <c r="F196" s="5" t="s">
        <v>223</v>
      </c>
      <c r="G196" s="5" t="s">
        <v>223</v>
      </c>
      <c r="H196" s="5" t="s">
        <v>223</v>
      </c>
    </row>
    <row r="197" spans="1:8">
      <c r="A197" s="105"/>
      <c r="B197" s="106"/>
      <c r="C197" s="107"/>
      <c r="D197" s="7" t="s">
        <v>273</v>
      </c>
      <c r="E197" s="14">
        <v>3</v>
      </c>
      <c r="F197" s="5" t="s">
        <v>223</v>
      </c>
      <c r="G197" s="5" t="s">
        <v>223</v>
      </c>
      <c r="H197" s="5" t="s">
        <v>223</v>
      </c>
    </row>
    <row r="198" spans="1:8" ht="40.799999999999997">
      <c r="A198" s="191">
        <v>7</v>
      </c>
      <c r="B198" s="100"/>
      <c r="C198" s="212" t="s">
        <v>230</v>
      </c>
      <c r="D198" s="7" t="s">
        <v>274</v>
      </c>
      <c r="E198" s="15">
        <v>2</v>
      </c>
      <c r="F198" s="8" t="s">
        <v>232</v>
      </c>
      <c r="G198" s="8" t="s">
        <v>232</v>
      </c>
      <c r="H198" s="8" t="s">
        <v>232</v>
      </c>
    </row>
    <row r="199" spans="1:8" ht="40.799999999999997">
      <c r="A199" s="192"/>
      <c r="B199" s="100"/>
      <c r="C199" s="213"/>
      <c r="D199" s="7" t="s">
        <v>274</v>
      </c>
      <c r="E199" s="15">
        <v>2</v>
      </c>
      <c r="F199" s="8" t="s">
        <v>232</v>
      </c>
      <c r="G199" s="8" t="s">
        <v>232</v>
      </c>
      <c r="H199" s="8" t="s">
        <v>232</v>
      </c>
    </row>
    <row r="200" spans="1:8" ht="30.6">
      <c r="A200" s="192"/>
      <c r="B200" s="101"/>
      <c r="C200" s="213"/>
      <c r="D200" s="10" t="s">
        <v>275</v>
      </c>
      <c r="E200" s="14">
        <v>2</v>
      </c>
      <c r="F200" s="5" t="s">
        <v>232</v>
      </c>
      <c r="G200" s="5" t="s">
        <v>232</v>
      </c>
      <c r="H200" s="5" t="s">
        <v>232</v>
      </c>
    </row>
    <row r="201" spans="1:8" ht="30.6">
      <c r="A201" s="192"/>
      <c r="B201" s="101"/>
      <c r="C201" s="213"/>
      <c r="D201" s="10" t="s">
        <v>275</v>
      </c>
      <c r="E201" s="14">
        <v>2</v>
      </c>
      <c r="F201" s="5" t="s">
        <v>232</v>
      </c>
      <c r="G201" s="5" t="s">
        <v>232</v>
      </c>
      <c r="H201" s="5" t="s">
        <v>232</v>
      </c>
    </row>
    <row r="202" spans="1:8" ht="30.6">
      <c r="A202" s="192"/>
      <c r="B202" s="101"/>
      <c r="C202" s="213"/>
      <c r="D202" s="10" t="s">
        <v>276</v>
      </c>
      <c r="E202" s="14">
        <v>2</v>
      </c>
      <c r="F202" s="5" t="s">
        <v>232</v>
      </c>
      <c r="G202" s="5" t="s">
        <v>232</v>
      </c>
      <c r="H202" s="5" t="s">
        <v>232</v>
      </c>
    </row>
    <row r="203" spans="1:8" ht="30.6">
      <c r="A203" s="192"/>
      <c r="B203" s="101"/>
      <c r="C203" s="213"/>
      <c r="D203" s="10" t="s">
        <v>276</v>
      </c>
      <c r="E203" s="14">
        <v>2</v>
      </c>
      <c r="F203" s="5" t="s">
        <v>232</v>
      </c>
      <c r="G203" s="5" t="s">
        <v>232</v>
      </c>
      <c r="H203" s="5" t="s">
        <v>232</v>
      </c>
    </row>
    <row r="204" spans="1:8" ht="20.399999999999999">
      <c r="A204" s="192"/>
      <c r="B204" s="101"/>
      <c r="C204" s="213"/>
      <c r="D204" s="7" t="s">
        <v>277</v>
      </c>
      <c r="E204" s="14">
        <v>2</v>
      </c>
      <c r="F204" s="5" t="s">
        <v>232</v>
      </c>
      <c r="G204" s="5" t="s">
        <v>232</v>
      </c>
      <c r="H204" s="5" t="s">
        <v>232</v>
      </c>
    </row>
    <row r="205" spans="1:8" ht="20.399999999999999">
      <c r="A205" s="192"/>
      <c r="B205" s="101"/>
      <c r="C205" s="213"/>
      <c r="D205" s="7" t="s">
        <v>277</v>
      </c>
      <c r="E205" s="14">
        <v>2</v>
      </c>
      <c r="F205" s="5" t="s">
        <v>232</v>
      </c>
      <c r="G205" s="5" t="s">
        <v>232</v>
      </c>
      <c r="H205" s="5" t="s">
        <v>232</v>
      </c>
    </row>
    <row r="206" spans="1:8" ht="30.6">
      <c r="A206" s="192"/>
      <c r="B206" s="101"/>
      <c r="C206" s="213"/>
      <c r="D206" s="10" t="s">
        <v>278</v>
      </c>
      <c r="E206" s="14">
        <v>2</v>
      </c>
      <c r="F206" s="5" t="s">
        <v>232</v>
      </c>
      <c r="G206" s="5" t="s">
        <v>232</v>
      </c>
      <c r="H206" s="5" t="s">
        <v>232</v>
      </c>
    </row>
    <row r="207" spans="1:8" ht="30.6">
      <c r="A207" s="192"/>
      <c r="B207" s="101"/>
      <c r="C207" s="213"/>
      <c r="D207" s="10" t="s">
        <v>278</v>
      </c>
      <c r="E207" s="14">
        <v>2</v>
      </c>
      <c r="F207" s="5" t="s">
        <v>232</v>
      </c>
      <c r="G207" s="5" t="s">
        <v>232</v>
      </c>
      <c r="H207" s="5" t="s">
        <v>232</v>
      </c>
    </row>
    <row r="208" spans="1:8" ht="20.399999999999999">
      <c r="A208" s="193"/>
      <c r="B208" s="102"/>
      <c r="C208" s="214"/>
      <c r="D208" s="7" t="s">
        <v>279</v>
      </c>
      <c r="E208" s="14">
        <v>2</v>
      </c>
      <c r="F208" s="5" t="s">
        <v>232</v>
      </c>
      <c r="G208" s="5" t="s">
        <v>232</v>
      </c>
      <c r="H208" s="5" t="s">
        <v>232</v>
      </c>
    </row>
    <row r="209" spans="1:8" ht="20.399999999999999">
      <c r="A209" s="101"/>
      <c r="B209" s="102"/>
      <c r="C209" s="108"/>
      <c r="D209" s="7" t="s">
        <v>279</v>
      </c>
      <c r="E209" s="14">
        <v>2</v>
      </c>
      <c r="F209" s="5" t="s">
        <v>232</v>
      </c>
      <c r="G209" s="5" t="s">
        <v>232</v>
      </c>
      <c r="H209" s="5" t="s">
        <v>232</v>
      </c>
    </row>
    <row r="210" spans="1:8">
      <c r="A210" s="191">
        <v>8</v>
      </c>
      <c r="B210" s="100"/>
      <c r="C210" s="212" t="s">
        <v>237</v>
      </c>
      <c r="D210" s="7" t="s">
        <v>280</v>
      </c>
      <c r="E210" s="14">
        <v>2</v>
      </c>
      <c r="F210" s="5" t="s">
        <v>232</v>
      </c>
      <c r="G210" s="5" t="s">
        <v>232</v>
      </c>
      <c r="H210" s="5" t="s">
        <v>232</v>
      </c>
    </row>
    <row r="211" spans="1:8">
      <c r="A211" s="192"/>
      <c r="B211" s="100"/>
      <c r="C211" s="213"/>
      <c r="D211" s="7" t="s">
        <v>280</v>
      </c>
      <c r="E211" s="14">
        <v>2</v>
      </c>
      <c r="F211" s="5" t="s">
        <v>232</v>
      </c>
      <c r="G211" s="5" t="s">
        <v>232</v>
      </c>
      <c r="H211" s="5" t="s">
        <v>232</v>
      </c>
    </row>
    <row r="212" spans="1:8">
      <c r="A212" s="192"/>
      <c r="B212" s="101"/>
      <c r="C212" s="213"/>
      <c r="D212" s="7" t="s">
        <v>281</v>
      </c>
      <c r="E212" s="14">
        <v>2</v>
      </c>
      <c r="F212" s="5" t="s">
        <v>232</v>
      </c>
      <c r="G212" s="5" t="s">
        <v>232</v>
      </c>
      <c r="H212" s="5" t="s">
        <v>232</v>
      </c>
    </row>
    <row r="213" spans="1:8">
      <c r="A213" s="192"/>
      <c r="B213" s="101"/>
      <c r="C213" s="213"/>
      <c r="D213" s="7" t="s">
        <v>281</v>
      </c>
      <c r="E213" s="14">
        <v>2</v>
      </c>
      <c r="F213" s="5" t="s">
        <v>232</v>
      </c>
      <c r="G213" s="5" t="s">
        <v>232</v>
      </c>
      <c r="H213" s="5" t="s">
        <v>232</v>
      </c>
    </row>
    <row r="214" spans="1:8">
      <c r="A214" s="193"/>
      <c r="B214" s="102"/>
      <c r="C214" s="214"/>
      <c r="D214" s="7" t="s">
        <v>282</v>
      </c>
      <c r="E214" s="14">
        <v>2</v>
      </c>
      <c r="F214" s="5" t="s">
        <v>232</v>
      </c>
      <c r="G214" s="5" t="s">
        <v>232</v>
      </c>
      <c r="H214" s="5" t="s">
        <v>232</v>
      </c>
    </row>
    <row r="215" spans="1:8">
      <c r="A215" s="102"/>
      <c r="B215" s="102"/>
      <c r="C215" s="108"/>
      <c r="D215" s="7" t="s">
        <v>282</v>
      </c>
      <c r="E215" s="14">
        <v>2</v>
      </c>
      <c r="F215" s="5" t="s">
        <v>232</v>
      </c>
      <c r="G215" s="5" t="s">
        <v>232</v>
      </c>
      <c r="H215" s="5" t="s">
        <v>232</v>
      </c>
    </row>
    <row r="216" spans="1:8" ht="14.4" customHeight="1">
      <c r="A216" s="9">
        <v>1</v>
      </c>
      <c r="B216" s="104"/>
      <c r="C216" s="169" t="s">
        <v>283</v>
      </c>
      <c r="D216" s="7" t="s">
        <v>284</v>
      </c>
      <c r="E216" s="9">
        <v>6</v>
      </c>
      <c r="F216" s="18" t="s">
        <v>285</v>
      </c>
      <c r="G216" s="19" t="s">
        <v>65</v>
      </c>
      <c r="H216" s="19" t="s">
        <v>51</v>
      </c>
    </row>
    <row r="217" spans="1:8" ht="14.4" customHeight="1">
      <c r="A217" s="9">
        <v>1</v>
      </c>
      <c r="B217" s="104"/>
      <c r="C217" s="170"/>
      <c r="D217" s="7" t="s">
        <v>284</v>
      </c>
      <c r="E217" s="9">
        <v>6</v>
      </c>
      <c r="F217" s="18" t="s">
        <v>285</v>
      </c>
      <c r="G217" s="19" t="s">
        <v>65</v>
      </c>
      <c r="H217" s="19" t="s">
        <v>51</v>
      </c>
    </row>
    <row r="218" spans="1:8" ht="14.4" customHeight="1">
      <c r="A218" s="9">
        <v>1</v>
      </c>
      <c r="B218" s="104"/>
      <c r="C218" s="170"/>
      <c r="D218" s="7" t="s">
        <v>284</v>
      </c>
      <c r="E218" s="9">
        <v>6</v>
      </c>
      <c r="F218" s="18" t="s">
        <v>285</v>
      </c>
      <c r="G218" s="19" t="s">
        <v>65</v>
      </c>
      <c r="H218" s="19" t="s">
        <v>51</v>
      </c>
    </row>
    <row r="219" spans="1:8" ht="14.4" customHeight="1">
      <c r="A219" s="9">
        <v>1</v>
      </c>
      <c r="B219" s="104"/>
      <c r="C219" s="170"/>
      <c r="D219" s="7" t="s">
        <v>284</v>
      </c>
      <c r="E219" s="9">
        <v>6</v>
      </c>
      <c r="F219" s="18" t="s">
        <v>285</v>
      </c>
      <c r="G219" s="19" t="s">
        <v>65</v>
      </c>
      <c r="H219" s="19" t="s">
        <v>51</v>
      </c>
    </row>
    <row r="220" spans="1:8" ht="14.4" customHeight="1">
      <c r="A220" s="9">
        <v>1</v>
      </c>
      <c r="B220" s="104"/>
      <c r="C220" s="170"/>
      <c r="D220" s="7" t="s">
        <v>284</v>
      </c>
      <c r="E220" s="9">
        <v>6</v>
      </c>
      <c r="F220" s="18" t="s">
        <v>285</v>
      </c>
      <c r="G220" s="19" t="s">
        <v>65</v>
      </c>
      <c r="H220" s="19" t="s">
        <v>51</v>
      </c>
    </row>
    <row r="221" spans="1:8" ht="14.4" customHeight="1">
      <c r="A221" s="9">
        <v>1</v>
      </c>
      <c r="B221" s="104"/>
      <c r="C221" s="170"/>
      <c r="D221" s="7" t="s">
        <v>284</v>
      </c>
      <c r="E221" s="9">
        <v>6</v>
      </c>
      <c r="F221" s="18" t="s">
        <v>285</v>
      </c>
      <c r="G221" s="19" t="s">
        <v>65</v>
      </c>
      <c r="H221" s="19" t="s">
        <v>51</v>
      </c>
    </row>
    <row r="222" spans="1:8" ht="30.6">
      <c r="A222" s="6">
        <v>2</v>
      </c>
      <c r="B222" s="101"/>
      <c r="C222" s="170"/>
      <c r="D222" s="7" t="s">
        <v>286</v>
      </c>
      <c r="E222" s="6">
        <v>2</v>
      </c>
      <c r="F222" s="8" t="s">
        <v>232</v>
      </c>
      <c r="G222" s="8" t="s">
        <v>232</v>
      </c>
      <c r="H222" s="8" t="s">
        <v>232</v>
      </c>
    </row>
    <row r="223" spans="1:8" ht="30.6">
      <c r="A223" s="6">
        <v>2</v>
      </c>
      <c r="B223" s="101"/>
      <c r="C223" s="170"/>
      <c r="D223" s="7" t="s">
        <v>286</v>
      </c>
      <c r="E223" s="6">
        <v>2</v>
      </c>
      <c r="F223" s="8" t="s">
        <v>232</v>
      </c>
      <c r="G223" s="8" t="s">
        <v>232</v>
      </c>
      <c r="H223" s="8" t="s">
        <v>232</v>
      </c>
    </row>
    <row r="224" spans="1:8" ht="30.6">
      <c r="A224" s="6">
        <v>3</v>
      </c>
      <c r="B224" s="101"/>
      <c r="C224" s="170"/>
      <c r="D224" s="7" t="s">
        <v>287</v>
      </c>
      <c r="E224" s="6">
        <v>2</v>
      </c>
      <c r="F224" s="8" t="s">
        <v>232</v>
      </c>
      <c r="G224" s="8" t="s">
        <v>232</v>
      </c>
      <c r="H224" s="8" t="s">
        <v>232</v>
      </c>
    </row>
    <row r="225" spans="1:8" ht="30.6">
      <c r="A225" s="6">
        <v>3</v>
      </c>
      <c r="B225" s="101"/>
      <c r="C225" s="170"/>
      <c r="D225" s="7" t="s">
        <v>287</v>
      </c>
      <c r="E225" s="6">
        <v>2</v>
      </c>
      <c r="F225" s="8" t="s">
        <v>232</v>
      </c>
      <c r="G225" s="8" t="s">
        <v>232</v>
      </c>
      <c r="H225" s="8" t="s">
        <v>232</v>
      </c>
    </row>
    <row r="226" spans="1:8">
      <c r="A226" s="9">
        <v>4</v>
      </c>
      <c r="B226" s="105"/>
      <c r="C226" s="170"/>
      <c r="D226" s="7" t="s">
        <v>288</v>
      </c>
      <c r="E226" s="9">
        <v>2</v>
      </c>
      <c r="F226" s="8" t="s">
        <v>289</v>
      </c>
      <c r="G226" s="8" t="s">
        <v>290</v>
      </c>
      <c r="H226" s="8" t="s">
        <v>46</v>
      </c>
    </row>
    <row r="227" spans="1:8">
      <c r="A227" s="9">
        <v>4</v>
      </c>
      <c r="B227" s="105"/>
      <c r="C227" s="170"/>
      <c r="D227" s="7" t="s">
        <v>288</v>
      </c>
      <c r="E227" s="9">
        <v>2</v>
      </c>
      <c r="F227" s="8" t="s">
        <v>289</v>
      </c>
      <c r="G227" s="8" t="s">
        <v>290</v>
      </c>
      <c r="H227" s="8" t="s">
        <v>46</v>
      </c>
    </row>
    <row r="228" spans="1:8" ht="20.399999999999999">
      <c r="A228" s="9">
        <v>5</v>
      </c>
      <c r="B228" s="106"/>
      <c r="C228" s="171"/>
      <c r="D228" s="7" t="s">
        <v>291</v>
      </c>
      <c r="E228" s="9">
        <v>2</v>
      </c>
      <c r="F228" s="8" t="s">
        <v>290</v>
      </c>
      <c r="G228" s="8" t="s">
        <v>289</v>
      </c>
      <c r="H228" s="8" t="s">
        <v>46</v>
      </c>
    </row>
    <row r="229" spans="1:8" ht="20.399999999999999">
      <c r="A229" s="9">
        <v>5</v>
      </c>
      <c r="B229" s="106"/>
      <c r="C229" s="115"/>
      <c r="D229" s="7" t="s">
        <v>291</v>
      </c>
      <c r="E229" s="9">
        <v>2</v>
      </c>
      <c r="F229" s="8" t="s">
        <v>290</v>
      </c>
      <c r="G229" s="8" t="s">
        <v>289</v>
      </c>
      <c r="H229" s="8" t="s">
        <v>46</v>
      </c>
    </row>
    <row r="230" spans="1:8" ht="20.399999999999999" customHeight="1">
      <c r="A230" s="9">
        <v>1</v>
      </c>
      <c r="B230" s="104"/>
      <c r="C230" s="194" t="s">
        <v>292</v>
      </c>
      <c r="D230" s="10" t="s">
        <v>293</v>
      </c>
      <c r="E230" s="9">
        <v>1</v>
      </c>
      <c r="F230" s="12" t="s">
        <v>45</v>
      </c>
      <c r="G230" s="7" t="s">
        <v>164</v>
      </c>
      <c r="H230" s="12" t="s">
        <v>56</v>
      </c>
    </row>
    <row r="231" spans="1:8" ht="20.399999999999999">
      <c r="A231" s="9">
        <v>2</v>
      </c>
      <c r="B231" s="105"/>
      <c r="C231" s="195"/>
      <c r="D231" s="10" t="s">
        <v>294</v>
      </c>
      <c r="E231" s="9">
        <v>1</v>
      </c>
      <c r="F231" s="12" t="s">
        <v>65</v>
      </c>
      <c r="G231" s="12" t="s">
        <v>53</v>
      </c>
      <c r="H231" s="7" t="s">
        <v>154</v>
      </c>
    </row>
    <row r="232" spans="1:8">
      <c r="A232" s="9">
        <v>3</v>
      </c>
      <c r="B232" s="105"/>
      <c r="C232" s="195"/>
      <c r="D232" s="7" t="s">
        <v>295</v>
      </c>
      <c r="E232" s="9">
        <v>2</v>
      </c>
      <c r="F232" s="7" t="s">
        <v>164</v>
      </c>
      <c r="G232" s="12" t="s">
        <v>53</v>
      </c>
      <c r="H232" s="7" t="s">
        <v>154</v>
      </c>
    </row>
    <row r="233" spans="1:8">
      <c r="A233" s="9">
        <v>3</v>
      </c>
      <c r="B233" s="105"/>
      <c r="C233" s="195"/>
      <c r="D233" s="7" t="s">
        <v>295</v>
      </c>
      <c r="E233" s="9">
        <v>2</v>
      </c>
      <c r="F233" s="7" t="s">
        <v>164</v>
      </c>
      <c r="G233" s="12" t="s">
        <v>53</v>
      </c>
      <c r="H233" s="7" t="s">
        <v>154</v>
      </c>
    </row>
    <row r="234" spans="1:8" ht="20.399999999999999">
      <c r="A234" s="9">
        <v>4</v>
      </c>
      <c r="B234" s="105"/>
      <c r="C234" s="195"/>
      <c r="D234" s="10" t="s">
        <v>296</v>
      </c>
      <c r="E234" s="9">
        <v>2</v>
      </c>
      <c r="F234" s="12" t="s">
        <v>53</v>
      </c>
      <c r="G234" s="7" t="s">
        <v>154</v>
      </c>
      <c r="H234" s="12" t="s">
        <v>67</v>
      </c>
    </row>
    <row r="235" spans="1:8" ht="20.399999999999999">
      <c r="A235" s="9">
        <v>4</v>
      </c>
      <c r="B235" s="105"/>
      <c r="C235" s="195"/>
      <c r="D235" s="10" t="s">
        <v>296</v>
      </c>
      <c r="E235" s="9">
        <v>2</v>
      </c>
      <c r="F235" s="12" t="s">
        <v>53</v>
      </c>
      <c r="G235" s="7" t="s">
        <v>154</v>
      </c>
      <c r="H235" s="12" t="s">
        <v>67</v>
      </c>
    </row>
    <row r="236" spans="1:8" ht="30.6">
      <c r="A236" s="6">
        <v>5</v>
      </c>
      <c r="B236" s="101"/>
      <c r="C236" s="195"/>
      <c r="D236" s="7" t="s">
        <v>297</v>
      </c>
      <c r="E236" s="6">
        <v>6</v>
      </c>
      <c r="F236" s="16" t="s">
        <v>232</v>
      </c>
      <c r="G236" s="16" t="s">
        <v>232</v>
      </c>
      <c r="H236" s="16" t="s">
        <v>232</v>
      </c>
    </row>
    <row r="237" spans="1:8" ht="30.6">
      <c r="A237" s="6">
        <v>5</v>
      </c>
      <c r="B237" s="101"/>
      <c r="C237" s="195"/>
      <c r="D237" s="7" t="s">
        <v>297</v>
      </c>
      <c r="E237" s="6">
        <v>6</v>
      </c>
      <c r="F237" s="16" t="s">
        <v>232</v>
      </c>
      <c r="G237" s="16" t="s">
        <v>232</v>
      </c>
      <c r="H237" s="16" t="s">
        <v>232</v>
      </c>
    </row>
    <row r="238" spans="1:8" ht="30.6">
      <c r="A238" s="6">
        <v>5</v>
      </c>
      <c r="B238" s="101"/>
      <c r="C238" s="195"/>
      <c r="D238" s="7" t="s">
        <v>297</v>
      </c>
      <c r="E238" s="6">
        <v>6</v>
      </c>
      <c r="F238" s="16" t="s">
        <v>232</v>
      </c>
      <c r="G238" s="16" t="s">
        <v>232</v>
      </c>
      <c r="H238" s="16" t="s">
        <v>232</v>
      </c>
    </row>
    <row r="239" spans="1:8" ht="30.6">
      <c r="A239" s="6">
        <v>5</v>
      </c>
      <c r="B239" s="101"/>
      <c r="C239" s="195"/>
      <c r="D239" s="7" t="s">
        <v>297</v>
      </c>
      <c r="E239" s="6">
        <v>6</v>
      </c>
      <c r="F239" s="16" t="s">
        <v>232</v>
      </c>
      <c r="G239" s="16" t="s">
        <v>232</v>
      </c>
      <c r="H239" s="16" t="s">
        <v>232</v>
      </c>
    </row>
    <row r="240" spans="1:8" ht="30.6">
      <c r="A240" s="6">
        <v>5</v>
      </c>
      <c r="B240" s="101"/>
      <c r="C240" s="195"/>
      <c r="D240" s="7" t="s">
        <v>297</v>
      </c>
      <c r="E240" s="6">
        <v>6</v>
      </c>
      <c r="F240" s="16" t="s">
        <v>232</v>
      </c>
      <c r="G240" s="16" t="s">
        <v>232</v>
      </c>
      <c r="H240" s="16" t="s">
        <v>232</v>
      </c>
    </row>
    <row r="241" spans="1:8" ht="30.6">
      <c r="A241" s="6">
        <v>5</v>
      </c>
      <c r="B241" s="101"/>
      <c r="C241" s="195"/>
      <c r="D241" s="7" t="s">
        <v>297</v>
      </c>
      <c r="E241" s="6">
        <v>6</v>
      </c>
      <c r="F241" s="16" t="s">
        <v>232</v>
      </c>
      <c r="G241" s="16" t="s">
        <v>232</v>
      </c>
      <c r="H241" s="16" t="s">
        <v>232</v>
      </c>
    </row>
    <row r="242" spans="1:8">
      <c r="A242" s="9">
        <v>6</v>
      </c>
      <c r="B242" s="106"/>
      <c r="C242" s="196"/>
      <c r="D242" s="7" t="s">
        <v>298</v>
      </c>
      <c r="E242" s="9">
        <v>2</v>
      </c>
      <c r="F242" s="7" t="s">
        <v>98</v>
      </c>
      <c r="G242" s="7" t="s">
        <v>98</v>
      </c>
      <c r="H242" s="7" t="s">
        <v>98</v>
      </c>
    </row>
    <row r="243" spans="1:8">
      <c r="A243" s="9">
        <v>6</v>
      </c>
      <c r="B243" s="106"/>
      <c r="C243" s="103"/>
      <c r="D243" s="7" t="s">
        <v>298</v>
      </c>
      <c r="E243" s="9">
        <v>2</v>
      </c>
      <c r="F243" s="7" t="s">
        <v>98</v>
      </c>
      <c r="G243" s="7" t="s">
        <v>98</v>
      </c>
      <c r="H243" s="7" t="s">
        <v>98</v>
      </c>
    </row>
    <row r="244" spans="1:8">
      <c r="A244" s="9">
        <v>7</v>
      </c>
      <c r="B244" s="9"/>
      <c r="C244" s="7" t="s">
        <v>299</v>
      </c>
      <c r="D244" s="7" t="s">
        <v>300</v>
      </c>
      <c r="E244" s="9">
        <v>1</v>
      </c>
      <c r="F244" s="7" t="s">
        <v>98</v>
      </c>
      <c r="G244" s="7" t="s">
        <v>98</v>
      </c>
      <c r="H244" s="7" t="s">
        <v>98</v>
      </c>
    </row>
    <row r="245" spans="1:8" ht="81.599999999999994">
      <c r="A245" s="6">
        <v>1</v>
      </c>
      <c r="B245" s="6"/>
      <c r="C245" s="13" t="s">
        <v>301</v>
      </c>
      <c r="D245" s="7" t="s">
        <v>302</v>
      </c>
      <c r="E245" s="6">
        <v>1</v>
      </c>
      <c r="F245" s="20" t="s">
        <v>303</v>
      </c>
      <c r="G245" s="20" t="s">
        <v>303</v>
      </c>
      <c r="H245" s="20" t="s">
        <v>303</v>
      </c>
    </row>
    <row r="246" spans="1:8" ht="61.2">
      <c r="A246" s="21">
        <v>2</v>
      </c>
      <c r="B246" s="21"/>
      <c r="C246" s="13" t="s">
        <v>304</v>
      </c>
      <c r="D246" s="13" t="s">
        <v>305</v>
      </c>
      <c r="E246" s="6">
        <v>1</v>
      </c>
      <c r="F246" s="20" t="s">
        <v>303</v>
      </c>
      <c r="G246" s="20" t="s">
        <v>303</v>
      </c>
      <c r="H246" s="20" t="s">
        <v>303</v>
      </c>
    </row>
    <row r="247" spans="1:8" ht="51">
      <c r="A247" s="21">
        <v>3</v>
      </c>
      <c r="B247" s="21"/>
      <c r="C247" s="10" t="s">
        <v>306</v>
      </c>
      <c r="D247" s="7" t="s">
        <v>307</v>
      </c>
      <c r="E247" s="6">
        <v>2</v>
      </c>
      <c r="F247" s="20" t="s">
        <v>303</v>
      </c>
      <c r="G247" s="20" t="s">
        <v>303</v>
      </c>
      <c r="H247" s="20" t="s">
        <v>303</v>
      </c>
    </row>
    <row r="248" spans="1:8" ht="51">
      <c r="A248" s="21">
        <v>3</v>
      </c>
      <c r="B248" s="21"/>
      <c r="C248" s="10" t="s">
        <v>306</v>
      </c>
      <c r="D248" s="7" t="s">
        <v>307</v>
      </c>
      <c r="E248" s="6">
        <v>2</v>
      </c>
      <c r="F248" s="20" t="s">
        <v>303</v>
      </c>
      <c r="G248" s="20" t="s">
        <v>303</v>
      </c>
      <c r="H248" s="20" t="s">
        <v>303</v>
      </c>
    </row>
    <row r="249" spans="1:8" ht="163.19999999999999">
      <c r="A249" s="21">
        <v>4</v>
      </c>
      <c r="B249" s="21"/>
      <c r="C249" s="13" t="s">
        <v>308</v>
      </c>
      <c r="D249" s="10" t="s">
        <v>309</v>
      </c>
      <c r="E249" s="6">
        <v>1</v>
      </c>
      <c r="F249" s="20" t="s">
        <v>303</v>
      </c>
      <c r="G249" s="20" t="s">
        <v>303</v>
      </c>
      <c r="H249" s="20" t="s">
        <v>303</v>
      </c>
    </row>
    <row r="250" spans="1:8" ht="51">
      <c r="A250" s="21">
        <v>5</v>
      </c>
      <c r="B250" s="21"/>
      <c r="C250" s="13" t="s">
        <v>310</v>
      </c>
      <c r="D250" s="7" t="s">
        <v>311</v>
      </c>
      <c r="E250" s="6">
        <v>1</v>
      </c>
      <c r="F250" s="22" t="s">
        <v>51</v>
      </c>
      <c r="G250" s="22" t="s">
        <v>66</v>
      </c>
      <c r="H250" s="22" t="s">
        <v>62</v>
      </c>
    </row>
    <row r="251" spans="1:8" ht="71.400000000000006">
      <c r="A251" s="191">
        <v>6</v>
      </c>
      <c r="B251" s="100"/>
      <c r="C251" s="194" t="s">
        <v>312</v>
      </c>
      <c r="D251" s="7" t="s">
        <v>313</v>
      </c>
      <c r="E251" s="191">
        <v>2</v>
      </c>
      <c r="F251" s="174" t="s">
        <v>303</v>
      </c>
      <c r="G251" s="174" t="s">
        <v>303</v>
      </c>
      <c r="H251" s="174" t="s">
        <v>303</v>
      </c>
    </row>
    <row r="252" spans="1:8" ht="71.400000000000006">
      <c r="A252" s="192"/>
      <c r="B252" s="100"/>
      <c r="C252" s="195"/>
      <c r="D252" s="7" t="s">
        <v>313</v>
      </c>
      <c r="E252" s="192"/>
      <c r="F252" s="175"/>
      <c r="G252" s="175"/>
      <c r="H252" s="175"/>
    </row>
    <row r="253" spans="1:8" ht="30.6">
      <c r="A253" s="192"/>
      <c r="B253" s="101"/>
      <c r="C253" s="195"/>
      <c r="D253" s="10" t="s">
        <v>314</v>
      </c>
      <c r="E253" s="192"/>
      <c r="F253" s="175"/>
      <c r="G253" s="175"/>
      <c r="H253" s="175"/>
    </row>
    <row r="254" spans="1:8" ht="30.6">
      <c r="A254" s="192"/>
      <c r="B254" s="101"/>
      <c r="C254" s="195"/>
      <c r="D254" s="10" t="s">
        <v>315</v>
      </c>
      <c r="E254" s="192"/>
      <c r="F254" s="175"/>
      <c r="G254" s="175"/>
      <c r="H254" s="175"/>
    </row>
    <row r="255" spans="1:8" ht="30.6">
      <c r="A255" s="193"/>
      <c r="B255" s="102"/>
      <c r="C255" s="196"/>
      <c r="D255" s="10" t="s">
        <v>316</v>
      </c>
      <c r="E255" s="193"/>
      <c r="F255" s="176"/>
      <c r="G255" s="176"/>
      <c r="H255" s="176"/>
    </row>
    <row r="256" spans="1:8" ht="61.2">
      <c r="A256" s="21">
        <v>7</v>
      </c>
      <c r="B256" s="21"/>
      <c r="C256" s="7" t="s">
        <v>317</v>
      </c>
      <c r="D256" s="10" t="s">
        <v>318</v>
      </c>
      <c r="E256" s="6">
        <v>1</v>
      </c>
      <c r="F256" s="23" t="s">
        <v>319</v>
      </c>
      <c r="G256" s="23" t="s">
        <v>66</v>
      </c>
      <c r="H256" s="23" t="s">
        <v>59</v>
      </c>
    </row>
    <row r="257" spans="1:8" ht="61.2">
      <c r="A257" s="191">
        <v>8</v>
      </c>
      <c r="B257" s="100"/>
      <c r="C257" s="194" t="s">
        <v>320</v>
      </c>
      <c r="D257" s="10" t="s">
        <v>321</v>
      </c>
      <c r="E257" s="191">
        <v>1</v>
      </c>
      <c r="F257" s="180" t="s">
        <v>66</v>
      </c>
      <c r="G257" s="180" t="s">
        <v>51</v>
      </c>
      <c r="H257" s="177" t="s">
        <v>322</v>
      </c>
    </row>
    <row r="258" spans="1:8" ht="61.2">
      <c r="A258" s="192"/>
      <c r="B258" s="101"/>
      <c r="C258" s="195"/>
      <c r="D258" s="10" t="s">
        <v>323</v>
      </c>
      <c r="E258" s="192"/>
      <c r="F258" s="181"/>
      <c r="G258" s="181"/>
      <c r="H258" s="178"/>
    </row>
    <row r="259" spans="1:8" ht="20.399999999999999">
      <c r="A259" s="193"/>
      <c r="B259" s="102"/>
      <c r="C259" s="196"/>
      <c r="D259" s="7" t="s">
        <v>324</v>
      </c>
      <c r="E259" s="193"/>
      <c r="F259" s="182"/>
      <c r="G259" s="182"/>
      <c r="H259" s="179"/>
    </row>
    <row r="260" spans="1:8" ht="61.2">
      <c r="A260" s="191">
        <v>9</v>
      </c>
      <c r="B260" s="100"/>
      <c r="C260" s="194" t="s">
        <v>325</v>
      </c>
      <c r="D260" s="7" t="s">
        <v>326</v>
      </c>
      <c r="E260" s="191">
        <v>2</v>
      </c>
      <c r="F260" s="180" t="s">
        <v>327</v>
      </c>
      <c r="G260" s="180" t="s">
        <v>51</v>
      </c>
      <c r="H260" s="180" t="s">
        <v>65</v>
      </c>
    </row>
    <row r="261" spans="1:8" ht="61.2">
      <c r="A261" s="192"/>
      <c r="B261" s="100"/>
      <c r="C261" s="195"/>
      <c r="D261" s="7" t="s">
        <v>326</v>
      </c>
      <c r="E261" s="192"/>
      <c r="F261" s="181"/>
      <c r="G261" s="181"/>
      <c r="H261" s="181"/>
    </row>
    <row r="262" spans="1:8" ht="30.6">
      <c r="A262" s="193"/>
      <c r="B262" s="102"/>
      <c r="C262" s="196"/>
      <c r="D262" s="10" t="s">
        <v>328</v>
      </c>
      <c r="E262" s="193"/>
      <c r="F262" s="182"/>
      <c r="G262" s="182"/>
      <c r="H262" s="182"/>
    </row>
    <row r="263" spans="1:8" ht="81.599999999999994">
      <c r="A263" s="203">
        <v>10</v>
      </c>
      <c r="B263" s="109"/>
      <c r="C263" s="209" t="s">
        <v>329</v>
      </c>
      <c r="D263" s="7" t="s">
        <v>330</v>
      </c>
      <c r="E263" s="191">
        <v>4</v>
      </c>
      <c r="F263" s="174" t="s">
        <v>303</v>
      </c>
      <c r="G263" s="174" t="s">
        <v>303</v>
      </c>
      <c r="H263" s="174" t="s">
        <v>303</v>
      </c>
    </row>
    <row r="264" spans="1:8" ht="81.599999999999994">
      <c r="A264" s="204"/>
      <c r="B264" s="109"/>
      <c r="C264" s="210"/>
      <c r="D264" s="7" t="s">
        <v>330</v>
      </c>
      <c r="E264" s="192"/>
      <c r="F264" s="175"/>
      <c r="G264" s="175"/>
      <c r="H264" s="175"/>
    </row>
    <row r="265" spans="1:8" ht="81.599999999999994">
      <c r="A265" s="204"/>
      <c r="B265" s="109"/>
      <c r="C265" s="210"/>
      <c r="D265" s="7" t="s">
        <v>330</v>
      </c>
      <c r="E265" s="192"/>
      <c r="F265" s="175"/>
      <c r="G265" s="175"/>
      <c r="H265" s="175"/>
    </row>
    <row r="266" spans="1:8" ht="81.599999999999994">
      <c r="A266" s="204"/>
      <c r="B266" s="109"/>
      <c r="C266" s="210"/>
      <c r="D266" s="7" t="s">
        <v>330</v>
      </c>
      <c r="E266" s="192"/>
      <c r="F266" s="175"/>
      <c r="G266" s="175"/>
      <c r="H266" s="175"/>
    </row>
    <row r="267" spans="1:8" ht="30.6">
      <c r="A267" s="205"/>
      <c r="B267" s="110"/>
      <c r="C267" s="211"/>
      <c r="D267" s="10" t="s">
        <v>331</v>
      </c>
      <c r="E267" s="193"/>
      <c r="F267" s="176"/>
      <c r="G267" s="176"/>
      <c r="H267" s="176"/>
    </row>
    <row r="268" spans="1:8" ht="20.399999999999999" customHeight="1">
      <c r="A268" s="203">
        <v>11</v>
      </c>
      <c r="B268" s="109"/>
      <c r="C268" s="206" t="s">
        <v>78</v>
      </c>
      <c r="D268" s="12" t="s">
        <v>79</v>
      </c>
      <c r="E268" s="191">
        <v>2</v>
      </c>
      <c r="F268" s="183" t="s">
        <v>80</v>
      </c>
      <c r="G268" s="183" t="s">
        <v>80</v>
      </c>
      <c r="H268" s="183" t="s">
        <v>80</v>
      </c>
    </row>
    <row r="269" spans="1:8" ht="20.399999999999999" customHeight="1">
      <c r="A269" s="204"/>
      <c r="B269" s="109"/>
      <c r="C269" s="207"/>
      <c r="D269" s="12" t="s">
        <v>79</v>
      </c>
      <c r="E269" s="192"/>
      <c r="F269" s="184"/>
      <c r="G269" s="184"/>
      <c r="H269" s="184"/>
    </row>
    <row r="270" spans="1:8" ht="51">
      <c r="A270" s="205"/>
      <c r="B270" s="110"/>
      <c r="C270" s="208"/>
      <c r="D270" s="12" t="s">
        <v>81</v>
      </c>
      <c r="E270" s="193"/>
      <c r="F270" s="185"/>
      <c r="G270" s="185"/>
      <c r="H270" s="185"/>
    </row>
    <row r="271" spans="1:8" ht="81.599999999999994">
      <c r="A271" s="21">
        <v>13</v>
      </c>
      <c r="B271" s="21"/>
      <c r="C271" s="12" t="s">
        <v>82</v>
      </c>
      <c r="D271" s="7" t="s">
        <v>332</v>
      </c>
      <c r="E271" s="6">
        <v>2</v>
      </c>
      <c r="F271" s="24" t="s">
        <v>83</v>
      </c>
      <c r="G271" s="24" t="s">
        <v>83</v>
      </c>
      <c r="H271" s="24" t="s">
        <v>83</v>
      </c>
    </row>
    <row r="272" spans="1:8" ht="81.599999999999994">
      <c r="A272" s="21">
        <v>13</v>
      </c>
      <c r="B272" s="21"/>
      <c r="C272" s="12" t="s">
        <v>82</v>
      </c>
      <c r="D272" s="7" t="s">
        <v>332</v>
      </c>
      <c r="E272" s="6">
        <v>2</v>
      </c>
      <c r="F272" s="24" t="s">
        <v>83</v>
      </c>
      <c r="G272" s="24" t="s">
        <v>83</v>
      </c>
      <c r="H272" s="24" t="s">
        <v>83</v>
      </c>
    </row>
    <row r="273" spans="1:8">
      <c r="A273" s="9">
        <v>1</v>
      </c>
      <c r="B273" s="125"/>
      <c r="C273" s="167" t="s">
        <v>444</v>
      </c>
      <c r="D273" s="168"/>
      <c r="E273" s="9">
        <v>36</v>
      </c>
      <c r="F273" s="7" t="s">
        <v>223</v>
      </c>
      <c r="G273" s="7" t="s">
        <v>223</v>
      </c>
      <c r="H273" s="7" t="s">
        <v>223</v>
      </c>
    </row>
    <row r="274" spans="1:8">
      <c r="A274" s="9">
        <v>1</v>
      </c>
      <c r="B274" s="125"/>
      <c r="C274" s="167" t="s">
        <v>444</v>
      </c>
      <c r="D274" s="168"/>
      <c r="E274" s="9">
        <v>36</v>
      </c>
      <c r="F274" s="7" t="s">
        <v>223</v>
      </c>
      <c r="G274" s="7" t="s">
        <v>223</v>
      </c>
      <c r="H274" s="7" t="s">
        <v>223</v>
      </c>
    </row>
    <row r="275" spans="1:8">
      <c r="A275" s="9">
        <v>1</v>
      </c>
      <c r="B275" s="125"/>
      <c r="C275" s="167" t="s">
        <v>444</v>
      </c>
      <c r="D275" s="168"/>
      <c r="E275" s="9">
        <v>36</v>
      </c>
      <c r="F275" s="7" t="s">
        <v>223</v>
      </c>
      <c r="G275" s="7" t="s">
        <v>223</v>
      </c>
      <c r="H275" s="7" t="s">
        <v>223</v>
      </c>
    </row>
    <row r="276" spans="1:8">
      <c r="A276" s="9">
        <v>1</v>
      </c>
      <c r="B276" s="125"/>
      <c r="C276" s="167" t="s">
        <v>444</v>
      </c>
      <c r="D276" s="168"/>
      <c r="E276" s="9">
        <v>36</v>
      </c>
      <c r="F276" s="7" t="s">
        <v>223</v>
      </c>
      <c r="G276" s="7" t="s">
        <v>223</v>
      </c>
      <c r="H276" s="7" t="s">
        <v>223</v>
      </c>
    </row>
    <row r="277" spans="1:8">
      <c r="A277" s="9">
        <v>1</v>
      </c>
      <c r="B277" s="125"/>
      <c r="C277" s="167" t="s">
        <v>444</v>
      </c>
      <c r="D277" s="168"/>
      <c r="E277" s="9">
        <v>36</v>
      </c>
      <c r="F277" s="7" t="s">
        <v>223</v>
      </c>
      <c r="G277" s="7" t="s">
        <v>223</v>
      </c>
      <c r="H277" s="7" t="s">
        <v>223</v>
      </c>
    </row>
    <row r="278" spans="1:8">
      <c r="A278" s="9">
        <v>1</v>
      </c>
      <c r="B278" s="125"/>
      <c r="C278" s="167" t="s">
        <v>444</v>
      </c>
      <c r="D278" s="168"/>
      <c r="E278" s="9">
        <v>36</v>
      </c>
      <c r="F278" s="7" t="s">
        <v>223</v>
      </c>
      <c r="G278" s="7" t="s">
        <v>223</v>
      </c>
      <c r="H278" s="7" t="s">
        <v>223</v>
      </c>
    </row>
    <row r="279" spans="1:8">
      <c r="A279" s="9">
        <v>1</v>
      </c>
      <c r="B279" s="125"/>
      <c r="C279" s="167" t="s">
        <v>444</v>
      </c>
      <c r="D279" s="168"/>
      <c r="E279" s="9">
        <v>36</v>
      </c>
      <c r="F279" s="7" t="s">
        <v>223</v>
      </c>
      <c r="G279" s="7" t="s">
        <v>223</v>
      </c>
      <c r="H279" s="7" t="s">
        <v>223</v>
      </c>
    </row>
    <row r="280" spans="1:8">
      <c r="A280" s="9">
        <v>1</v>
      </c>
      <c r="B280" s="125"/>
      <c r="C280" s="167" t="s">
        <v>444</v>
      </c>
      <c r="D280" s="168"/>
      <c r="E280" s="9">
        <v>36</v>
      </c>
      <c r="F280" s="7" t="s">
        <v>223</v>
      </c>
      <c r="G280" s="7" t="s">
        <v>223</v>
      </c>
      <c r="H280" s="7" t="s">
        <v>223</v>
      </c>
    </row>
    <row r="281" spans="1:8">
      <c r="A281" s="9">
        <v>1</v>
      </c>
      <c r="B281" s="125"/>
      <c r="C281" s="167" t="s">
        <v>444</v>
      </c>
      <c r="D281" s="168"/>
      <c r="E281" s="9">
        <v>36</v>
      </c>
      <c r="F281" s="7" t="s">
        <v>223</v>
      </c>
      <c r="G281" s="7" t="s">
        <v>223</v>
      </c>
      <c r="H281" s="7" t="s">
        <v>223</v>
      </c>
    </row>
    <row r="282" spans="1:8">
      <c r="A282" s="9">
        <v>1</v>
      </c>
      <c r="B282" s="125"/>
      <c r="C282" s="167" t="s">
        <v>444</v>
      </c>
      <c r="D282" s="168"/>
      <c r="E282" s="9">
        <v>36</v>
      </c>
      <c r="F282" s="7" t="s">
        <v>223</v>
      </c>
      <c r="G282" s="7" t="s">
        <v>223</v>
      </c>
      <c r="H282" s="7" t="s">
        <v>223</v>
      </c>
    </row>
    <row r="283" spans="1:8">
      <c r="A283" s="9">
        <v>1</v>
      </c>
      <c r="B283" s="125"/>
      <c r="C283" s="167" t="s">
        <v>444</v>
      </c>
      <c r="D283" s="168"/>
      <c r="E283" s="9">
        <v>36</v>
      </c>
      <c r="F283" s="7" t="s">
        <v>223</v>
      </c>
      <c r="G283" s="7" t="s">
        <v>223</v>
      </c>
      <c r="H283" s="7" t="s">
        <v>223</v>
      </c>
    </row>
    <row r="284" spans="1:8">
      <c r="A284" s="9">
        <v>1</v>
      </c>
      <c r="B284" s="125"/>
      <c r="C284" s="167" t="s">
        <v>444</v>
      </c>
      <c r="D284" s="168"/>
      <c r="E284" s="9">
        <v>36</v>
      </c>
      <c r="F284" s="7" t="s">
        <v>223</v>
      </c>
      <c r="G284" s="7" t="s">
        <v>223</v>
      </c>
      <c r="H284" s="7" t="s">
        <v>223</v>
      </c>
    </row>
    <row r="285" spans="1:8">
      <c r="A285" s="9">
        <v>1</v>
      </c>
      <c r="B285" s="125"/>
      <c r="C285" s="167" t="s">
        <v>444</v>
      </c>
      <c r="D285" s="168"/>
      <c r="E285" s="9">
        <v>36</v>
      </c>
      <c r="F285" s="7" t="s">
        <v>223</v>
      </c>
      <c r="G285" s="7" t="s">
        <v>223</v>
      </c>
      <c r="H285" s="7" t="s">
        <v>223</v>
      </c>
    </row>
    <row r="286" spans="1:8">
      <c r="A286" s="9">
        <v>1</v>
      </c>
      <c r="B286" s="125"/>
      <c r="C286" s="167" t="s">
        <v>444</v>
      </c>
      <c r="D286" s="168"/>
      <c r="E286" s="9">
        <v>36</v>
      </c>
      <c r="F286" s="7" t="s">
        <v>223</v>
      </c>
      <c r="G286" s="7" t="s">
        <v>223</v>
      </c>
      <c r="H286" s="7" t="s">
        <v>223</v>
      </c>
    </row>
    <row r="287" spans="1:8">
      <c r="A287" s="9">
        <v>1</v>
      </c>
      <c r="B287" s="125"/>
      <c r="C287" s="167" t="s">
        <v>444</v>
      </c>
      <c r="D287" s="168"/>
      <c r="E287" s="9">
        <v>36</v>
      </c>
      <c r="F287" s="7" t="s">
        <v>223</v>
      </c>
      <c r="G287" s="7" t="s">
        <v>223</v>
      </c>
      <c r="H287" s="7" t="s">
        <v>223</v>
      </c>
    </row>
    <row r="288" spans="1:8">
      <c r="A288" s="9">
        <v>1</v>
      </c>
      <c r="B288" s="125"/>
      <c r="C288" s="167" t="s">
        <v>444</v>
      </c>
      <c r="D288" s="168"/>
      <c r="E288" s="9">
        <v>36</v>
      </c>
      <c r="F288" s="7" t="s">
        <v>223</v>
      </c>
      <c r="G288" s="7" t="s">
        <v>223</v>
      </c>
      <c r="H288" s="7" t="s">
        <v>223</v>
      </c>
    </row>
    <row r="289" spans="1:8">
      <c r="A289" s="9">
        <v>1</v>
      </c>
      <c r="B289" s="125"/>
      <c r="C289" s="167" t="s">
        <v>444</v>
      </c>
      <c r="D289" s="168"/>
      <c r="E289" s="9">
        <v>36</v>
      </c>
      <c r="F289" s="7" t="s">
        <v>223</v>
      </c>
      <c r="G289" s="7" t="s">
        <v>223</v>
      </c>
      <c r="H289" s="7" t="s">
        <v>223</v>
      </c>
    </row>
    <row r="290" spans="1:8">
      <c r="A290" s="9">
        <v>1</v>
      </c>
      <c r="B290" s="125"/>
      <c r="C290" s="167" t="s">
        <v>444</v>
      </c>
      <c r="D290" s="168"/>
      <c r="E290" s="9">
        <v>36</v>
      </c>
      <c r="F290" s="7" t="s">
        <v>223</v>
      </c>
      <c r="G290" s="7" t="s">
        <v>223</v>
      </c>
      <c r="H290" s="7" t="s">
        <v>223</v>
      </c>
    </row>
    <row r="291" spans="1:8">
      <c r="A291" s="9">
        <v>1</v>
      </c>
      <c r="B291" s="125"/>
      <c r="C291" s="167" t="s">
        <v>444</v>
      </c>
      <c r="D291" s="168"/>
      <c r="E291" s="9">
        <v>36</v>
      </c>
      <c r="F291" s="7" t="s">
        <v>223</v>
      </c>
      <c r="G291" s="7" t="s">
        <v>223</v>
      </c>
      <c r="H291" s="7" t="s">
        <v>223</v>
      </c>
    </row>
    <row r="292" spans="1:8">
      <c r="A292" s="9">
        <v>1</v>
      </c>
      <c r="B292" s="125"/>
      <c r="C292" s="167" t="s">
        <v>444</v>
      </c>
      <c r="D292" s="168"/>
      <c r="E292" s="9">
        <v>36</v>
      </c>
      <c r="F292" s="7" t="s">
        <v>223</v>
      </c>
      <c r="G292" s="7" t="s">
        <v>223</v>
      </c>
      <c r="H292" s="7" t="s">
        <v>223</v>
      </c>
    </row>
    <row r="293" spans="1:8">
      <c r="A293" s="9">
        <v>1</v>
      </c>
      <c r="B293" s="125"/>
      <c r="C293" s="167" t="s">
        <v>444</v>
      </c>
      <c r="D293" s="168"/>
      <c r="E293" s="9">
        <v>36</v>
      </c>
      <c r="F293" s="7" t="s">
        <v>223</v>
      </c>
      <c r="G293" s="7" t="s">
        <v>223</v>
      </c>
      <c r="H293" s="7" t="s">
        <v>223</v>
      </c>
    </row>
    <row r="294" spans="1:8">
      <c r="A294" s="9">
        <v>1</v>
      </c>
      <c r="B294" s="125"/>
      <c r="C294" s="167" t="s">
        <v>444</v>
      </c>
      <c r="D294" s="168"/>
      <c r="E294" s="9">
        <v>36</v>
      </c>
      <c r="F294" s="7" t="s">
        <v>223</v>
      </c>
      <c r="G294" s="7" t="s">
        <v>223</v>
      </c>
      <c r="H294" s="7" t="s">
        <v>223</v>
      </c>
    </row>
    <row r="295" spans="1:8">
      <c r="A295" s="9">
        <v>1</v>
      </c>
      <c r="B295" s="125"/>
      <c r="C295" s="167" t="s">
        <v>444</v>
      </c>
      <c r="D295" s="168"/>
      <c r="E295" s="9">
        <v>36</v>
      </c>
      <c r="F295" s="7" t="s">
        <v>223</v>
      </c>
      <c r="G295" s="7" t="s">
        <v>223</v>
      </c>
      <c r="H295" s="7" t="s">
        <v>223</v>
      </c>
    </row>
    <row r="296" spans="1:8">
      <c r="A296" s="9">
        <v>1</v>
      </c>
      <c r="B296" s="125"/>
      <c r="C296" s="167" t="s">
        <v>444</v>
      </c>
      <c r="D296" s="168"/>
      <c r="E296" s="9">
        <v>36</v>
      </c>
      <c r="F296" s="7" t="s">
        <v>223</v>
      </c>
      <c r="G296" s="7" t="s">
        <v>223</v>
      </c>
      <c r="H296" s="7" t="s">
        <v>223</v>
      </c>
    </row>
    <row r="297" spans="1:8">
      <c r="A297" s="9">
        <v>1</v>
      </c>
      <c r="B297" s="125"/>
      <c r="C297" s="167" t="s">
        <v>444</v>
      </c>
      <c r="D297" s="168"/>
      <c r="E297" s="9">
        <v>36</v>
      </c>
      <c r="F297" s="7" t="s">
        <v>223</v>
      </c>
      <c r="G297" s="7" t="s">
        <v>223</v>
      </c>
      <c r="H297" s="7" t="s">
        <v>223</v>
      </c>
    </row>
    <row r="298" spans="1:8">
      <c r="A298" s="9">
        <v>1</v>
      </c>
      <c r="B298" s="125"/>
      <c r="C298" s="167" t="s">
        <v>444</v>
      </c>
      <c r="D298" s="168"/>
      <c r="E298" s="9">
        <v>36</v>
      </c>
      <c r="F298" s="7" t="s">
        <v>223</v>
      </c>
      <c r="G298" s="7" t="s">
        <v>223</v>
      </c>
      <c r="H298" s="7" t="s">
        <v>223</v>
      </c>
    </row>
    <row r="299" spans="1:8">
      <c r="A299" s="9">
        <v>1</v>
      </c>
      <c r="B299" s="125"/>
      <c r="C299" s="167" t="s">
        <v>444</v>
      </c>
      <c r="D299" s="168"/>
      <c r="E299" s="9">
        <v>36</v>
      </c>
      <c r="F299" s="7" t="s">
        <v>223</v>
      </c>
      <c r="G299" s="7" t="s">
        <v>223</v>
      </c>
      <c r="H299" s="7" t="s">
        <v>223</v>
      </c>
    </row>
    <row r="300" spans="1:8">
      <c r="A300" s="9">
        <v>1</v>
      </c>
      <c r="B300" s="125"/>
      <c r="C300" s="167" t="s">
        <v>444</v>
      </c>
      <c r="D300" s="168"/>
      <c r="E300" s="9">
        <v>36</v>
      </c>
      <c r="F300" s="7" t="s">
        <v>223</v>
      </c>
      <c r="G300" s="7" t="s">
        <v>223</v>
      </c>
      <c r="H300" s="7" t="s">
        <v>223</v>
      </c>
    </row>
    <row r="301" spans="1:8">
      <c r="A301" s="9">
        <v>1</v>
      </c>
      <c r="B301" s="125"/>
      <c r="C301" s="167" t="s">
        <v>444</v>
      </c>
      <c r="D301" s="168"/>
      <c r="E301" s="9">
        <v>36</v>
      </c>
      <c r="F301" s="7" t="s">
        <v>223</v>
      </c>
      <c r="G301" s="7" t="s">
        <v>223</v>
      </c>
      <c r="H301" s="7" t="s">
        <v>223</v>
      </c>
    </row>
    <row r="302" spans="1:8">
      <c r="A302" s="9">
        <v>1</v>
      </c>
      <c r="B302" s="125"/>
      <c r="C302" s="167" t="s">
        <v>444</v>
      </c>
      <c r="D302" s="168"/>
      <c r="E302" s="9">
        <v>36</v>
      </c>
      <c r="F302" s="7" t="s">
        <v>223</v>
      </c>
      <c r="G302" s="7" t="s">
        <v>223</v>
      </c>
      <c r="H302" s="7" t="s">
        <v>223</v>
      </c>
    </row>
    <row r="303" spans="1:8">
      <c r="A303" s="9">
        <v>1</v>
      </c>
      <c r="B303" s="125"/>
      <c r="C303" s="167" t="s">
        <v>444</v>
      </c>
      <c r="D303" s="168"/>
      <c r="E303" s="9">
        <v>36</v>
      </c>
      <c r="F303" s="7" t="s">
        <v>223</v>
      </c>
      <c r="G303" s="7" t="s">
        <v>223</v>
      </c>
      <c r="H303" s="7" t="s">
        <v>223</v>
      </c>
    </row>
    <row r="304" spans="1:8">
      <c r="A304" s="9">
        <v>1</v>
      </c>
      <c r="B304" s="125"/>
      <c r="C304" s="167" t="s">
        <v>444</v>
      </c>
      <c r="D304" s="168"/>
      <c r="E304" s="9">
        <v>36</v>
      </c>
      <c r="F304" s="7" t="s">
        <v>223</v>
      </c>
      <c r="G304" s="7" t="s">
        <v>223</v>
      </c>
      <c r="H304" s="7" t="s">
        <v>223</v>
      </c>
    </row>
    <row r="305" spans="1:8">
      <c r="A305" s="9">
        <v>1</v>
      </c>
      <c r="B305" s="125"/>
      <c r="C305" s="167" t="s">
        <v>444</v>
      </c>
      <c r="D305" s="168"/>
      <c r="E305" s="9">
        <v>36</v>
      </c>
      <c r="F305" s="7" t="s">
        <v>223</v>
      </c>
      <c r="G305" s="7" t="s">
        <v>223</v>
      </c>
      <c r="H305" s="7" t="s">
        <v>223</v>
      </c>
    </row>
    <row r="306" spans="1:8">
      <c r="A306" s="9">
        <v>1</v>
      </c>
      <c r="B306" s="125"/>
      <c r="C306" s="167" t="s">
        <v>444</v>
      </c>
      <c r="D306" s="168"/>
      <c r="E306" s="9">
        <v>36</v>
      </c>
      <c r="F306" s="7" t="s">
        <v>223</v>
      </c>
      <c r="G306" s="7" t="s">
        <v>223</v>
      </c>
      <c r="H306" s="7" t="s">
        <v>223</v>
      </c>
    </row>
    <row r="307" spans="1:8">
      <c r="A307" s="9">
        <v>1</v>
      </c>
      <c r="B307" s="125"/>
      <c r="C307" s="167" t="s">
        <v>444</v>
      </c>
      <c r="D307" s="168"/>
      <c r="E307" s="9">
        <v>36</v>
      </c>
      <c r="F307" s="7" t="s">
        <v>223</v>
      </c>
      <c r="G307" s="7" t="s">
        <v>223</v>
      </c>
      <c r="H307" s="7" t="s">
        <v>223</v>
      </c>
    </row>
    <row r="308" spans="1:8">
      <c r="A308" s="9">
        <v>1</v>
      </c>
      <c r="B308" s="125"/>
      <c r="C308" s="167" t="s">
        <v>444</v>
      </c>
      <c r="D308" s="168"/>
      <c r="E308" s="9">
        <v>36</v>
      </c>
      <c r="F308" s="7" t="s">
        <v>223</v>
      </c>
      <c r="G308" s="7" t="s">
        <v>223</v>
      </c>
      <c r="H308" s="7" t="s">
        <v>223</v>
      </c>
    </row>
    <row r="309" spans="1:8" ht="14.4" customHeight="1">
      <c r="A309" s="9">
        <v>2</v>
      </c>
      <c r="B309" s="125"/>
      <c r="C309" s="167" t="s">
        <v>445</v>
      </c>
      <c r="D309" s="168"/>
      <c r="E309" s="9">
        <v>36</v>
      </c>
      <c r="F309" s="7" t="s">
        <v>223</v>
      </c>
      <c r="G309" s="7" t="s">
        <v>223</v>
      </c>
      <c r="H309" s="7" t="s">
        <v>223</v>
      </c>
    </row>
    <row r="310" spans="1:8" ht="14.4" customHeight="1">
      <c r="A310" s="9">
        <v>2</v>
      </c>
      <c r="B310" s="125"/>
      <c r="C310" s="167" t="s">
        <v>445</v>
      </c>
      <c r="D310" s="168"/>
      <c r="E310" s="9">
        <v>36</v>
      </c>
      <c r="F310" s="7" t="s">
        <v>223</v>
      </c>
      <c r="G310" s="7" t="s">
        <v>223</v>
      </c>
      <c r="H310" s="7" t="s">
        <v>223</v>
      </c>
    </row>
    <row r="311" spans="1:8" ht="14.4" customHeight="1">
      <c r="A311" s="9">
        <v>2</v>
      </c>
      <c r="B311" s="125"/>
      <c r="C311" s="167" t="s">
        <v>445</v>
      </c>
      <c r="D311" s="168"/>
      <c r="E311" s="9">
        <v>36</v>
      </c>
      <c r="F311" s="7" t="s">
        <v>223</v>
      </c>
      <c r="G311" s="7" t="s">
        <v>223</v>
      </c>
      <c r="H311" s="7" t="s">
        <v>223</v>
      </c>
    </row>
    <row r="312" spans="1:8" ht="14.4" customHeight="1">
      <c r="A312" s="9">
        <v>2</v>
      </c>
      <c r="B312" s="125"/>
      <c r="C312" s="167" t="s">
        <v>445</v>
      </c>
      <c r="D312" s="168"/>
      <c r="E312" s="9">
        <v>36</v>
      </c>
      <c r="F312" s="7" t="s">
        <v>223</v>
      </c>
      <c r="G312" s="7" t="s">
        <v>223</v>
      </c>
      <c r="H312" s="7" t="s">
        <v>223</v>
      </c>
    </row>
    <row r="313" spans="1:8" ht="14.4" customHeight="1">
      <c r="A313" s="9">
        <v>2</v>
      </c>
      <c r="B313" s="125"/>
      <c r="C313" s="167" t="s">
        <v>445</v>
      </c>
      <c r="D313" s="168"/>
      <c r="E313" s="9">
        <v>36</v>
      </c>
      <c r="F313" s="7" t="s">
        <v>223</v>
      </c>
      <c r="G313" s="7" t="s">
        <v>223</v>
      </c>
      <c r="H313" s="7" t="s">
        <v>223</v>
      </c>
    </row>
    <row r="314" spans="1:8" ht="14.4" customHeight="1">
      <c r="A314" s="9">
        <v>2</v>
      </c>
      <c r="B314" s="125"/>
      <c r="C314" s="167" t="s">
        <v>445</v>
      </c>
      <c r="D314" s="168"/>
      <c r="E314" s="9">
        <v>36</v>
      </c>
      <c r="F314" s="7" t="s">
        <v>223</v>
      </c>
      <c r="G314" s="7" t="s">
        <v>223</v>
      </c>
      <c r="H314" s="7" t="s">
        <v>223</v>
      </c>
    </row>
    <row r="315" spans="1:8" ht="14.4" customHeight="1">
      <c r="A315" s="9">
        <v>2</v>
      </c>
      <c r="B315" s="125"/>
      <c r="C315" s="167" t="s">
        <v>445</v>
      </c>
      <c r="D315" s="168"/>
      <c r="E315" s="9">
        <v>36</v>
      </c>
      <c r="F315" s="7" t="s">
        <v>223</v>
      </c>
      <c r="G315" s="7" t="s">
        <v>223</v>
      </c>
      <c r="H315" s="7" t="s">
        <v>223</v>
      </c>
    </row>
    <row r="316" spans="1:8" ht="14.4" customHeight="1">
      <c r="A316" s="9">
        <v>2</v>
      </c>
      <c r="B316" s="125"/>
      <c r="C316" s="167" t="s">
        <v>445</v>
      </c>
      <c r="D316" s="168"/>
      <c r="E316" s="9">
        <v>36</v>
      </c>
      <c r="F316" s="7" t="s">
        <v>223</v>
      </c>
      <c r="G316" s="7" t="s">
        <v>223</v>
      </c>
      <c r="H316" s="7" t="s">
        <v>223</v>
      </c>
    </row>
    <row r="317" spans="1:8" ht="14.4" customHeight="1">
      <c r="A317" s="9">
        <v>2</v>
      </c>
      <c r="B317" s="125"/>
      <c r="C317" s="167" t="s">
        <v>445</v>
      </c>
      <c r="D317" s="168"/>
      <c r="E317" s="9">
        <v>36</v>
      </c>
      <c r="F317" s="7" t="s">
        <v>223</v>
      </c>
      <c r="G317" s="7" t="s">
        <v>223</v>
      </c>
      <c r="H317" s="7" t="s">
        <v>223</v>
      </c>
    </row>
    <row r="318" spans="1:8" ht="14.4" customHeight="1">
      <c r="A318" s="9">
        <v>2</v>
      </c>
      <c r="B318" s="125"/>
      <c r="C318" s="167" t="s">
        <v>445</v>
      </c>
      <c r="D318" s="168"/>
      <c r="E318" s="9">
        <v>36</v>
      </c>
      <c r="F318" s="7" t="s">
        <v>223</v>
      </c>
      <c r="G318" s="7" t="s">
        <v>223</v>
      </c>
      <c r="H318" s="7" t="s">
        <v>223</v>
      </c>
    </row>
    <row r="319" spans="1:8" ht="14.4" customHeight="1">
      <c r="A319" s="9">
        <v>2</v>
      </c>
      <c r="B319" s="125"/>
      <c r="C319" s="167" t="s">
        <v>445</v>
      </c>
      <c r="D319" s="168"/>
      <c r="E319" s="9">
        <v>36</v>
      </c>
      <c r="F319" s="7" t="s">
        <v>223</v>
      </c>
      <c r="G319" s="7" t="s">
        <v>223</v>
      </c>
      <c r="H319" s="7" t="s">
        <v>223</v>
      </c>
    </row>
    <row r="320" spans="1:8" ht="14.4" customHeight="1">
      <c r="A320" s="9">
        <v>2</v>
      </c>
      <c r="B320" s="125"/>
      <c r="C320" s="167" t="s">
        <v>445</v>
      </c>
      <c r="D320" s="168"/>
      <c r="E320" s="9">
        <v>36</v>
      </c>
      <c r="F320" s="7" t="s">
        <v>223</v>
      </c>
      <c r="G320" s="7" t="s">
        <v>223</v>
      </c>
      <c r="H320" s="7" t="s">
        <v>223</v>
      </c>
    </row>
    <row r="321" spans="1:8" ht="14.4" customHeight="1">
      <c r="A321" s="9">
        <v>2</v>
      </c>
      <c r="B321" s="125"/>
      <c r="C321" s="167" t="s">
        <v>445</v>
      </c>
      <c r="D321" s="168"/>
      <c r="E321" s="9">
        <v>36</v>
      </c>
      <c r="F321" s="7" t="s">
        <v>223</v>
      </c>
      <c r="G321" s="7" t="s">
        <v>223</v>
      </c>
      <c r="H321" s="7" t="s">
        <v>223</v>
      </c>
    </row>
    <row r="322" spans="1:8" ht="14.4" customHeight="1">
      <c r="A322" s="9">
        <v>2</v>
      </c>
      <c r="B322" s="125"/>
      <c r="C322" s="167" t="s">
        <v>445</v>
      </c>
      <c r="D322" s="168"/>
      <c r="E322" s="9">
        <v>36</v>
      </c>
      <c r="F322" s="7" t="s">
        <v>223</v>
      </c>
      <c r="G322" s="7" t="s">
        <v>223</v>
      </c>
      <c r="H322" s="7" t="s">
        <v>223</v>
      </c>
    </row>
    <row r="323" spans="1:8" ht="14.4" customHeight="1">
      <c r="A323" s="9">
        <v>2</v>
      </c>
      <c r="B323" s="125"/>
      <c r="C323" s="167" t="s">
        <v>445</v>
      </c>
      <c r="D323" s="168"/>
      <c r="E323" s="9">
        <v>36</v>
      </c>
      <c r="F323" s="7" t="s">
        <v>223</v>
      </c>
      <c r="G323" s="7" t="s">
        <v>223</v>
      </c>
      <c r="H323" s="7" t="s">
        <v>223</v>
      </c>
    </row>
    <row r="324" spans="1:8" ht="14.4" customHeight="1">
      <c r="A324" s="9">
        <v>2</v>
      </c>
      <c r="B324" s="125"/>
      <c r="C324" s="167" t="s">
        <v>445</v>
      </c>
      <c r="D324" s="168"/>
      <c r="E324" s="9">
        <v>36</v>
      </c>
      <c r="F324" s="7" t="s">
        <v>223</v>
      </c>
      <c r="G324" s="7" t="s">
        <v>223</v>
      </c>
      <c r="H324" s="7" t="s">
        <v>223</v>
      </c>
    </row>
    <row r="325" spans="1:8" ht="14.4" customHeight="1">
      <c r="A325" s="9">
        <v>2</v>
      </c>
      <c r="B325" s="125"/>
      <c r="C325" s="167" t="s">
        <v>445</v>
      </c>
      <c r="D325" s="168"/>
      <c r="E325" s="9">
        <v>36</v>
      </c>
      <c r="F325" s="7" t="s">
        <v>223</v>
      </c>
      <c r="G325" s="7" t="s">
        <v>223</v>
      </c>
      <c r="H325" s="7" t="s">
        <v>223</v>
      </c>
    </row>
    <row r="326" spans="1:8" ht="14.4" customHeight="1">
      <c r="A326" s="9">
        <v>2</v>
      </c>
      <c r="B326" s="125"/>
      <c r="C326" s="167" t="s">
        <v>445</v>
      </c>
      <c r="D326" s="168"/>
      <c r="E326" s="9">
        <v>36</v>
      </c>
      <c r="F326" s="7" t="s">
        <v>223</v>
      </c>
      <c r="G326" s="7" t="s">
        <v>223</v>
      </c>
      <c r="H326" s="7" t="s">
        <v>223</v>
      </c>
    </row>
    <row r="327" spans="1:8" ht="14.4" customHeight="1">
      <c r="A327" s="9">
        <v>2</v>
      </c>
      <c r="B327" s="125"/>
      <c r="C327" s="167" t="s">
        <v>445</v>
      </c>
      <c r="D327" s="168"/>
      <c r="E327" s="9">
        <v>36</v>
      </c>
      <c r="F327" s="7" t="s">
        <v>223</v>
      </c>
      <c r="G327" s="7" t="s">
        <v>223</v>
      </c>
      <c r="H327" s="7" t="s">
        <v>223</v>
      </c>
    </row>
    <row r="328" spans="1:8" ht="14.4" customHeight="1">
      <c r="A328" s="9">
        <v>2</v>
      </c>
      <c r="B328" s="125"/>
      <c r="C328" s="167" t="s">
        <v>445</v>
      </c>
      <c r="D328" s="168"/>
      <c r="E328" s="9">
        <v>36</v>
      </c>
      <c r="F328" s="7" t="s">
        <v>223</v>
      </c>
      <c r="G328" s="7" t="s">
        <v>223</v>
      </c>
      <c r="H328" s="7" t="s">
        <v>223</v>
      </c>
    </row>
    <row r="329" spans="1:8" ht="14.4" customHeight="1">
      <c r="A329" s="9">
        <v>2</v>
      </c>
      <c r="B329" s="125"/>
      <c r="C329" s="167" t="s">
        <v>445</v>
      </c>
      <c r="D329" s="168"/>
      <c r="E329" s="9">
        <v>36</v>
      </c>
      <c r="F329" s="7" t="s">
        <v>223</v>
      </c>
      <c r="G329" s="7" t="s">
        <v>223</v>
      </c>
      <c r="H329" s="7" t="s">
        <v>223</v>
      </c>
    </row>
    <row r="330" spans="1:8" ht="14.4" customHeight="1">
      <c r="A330" s="9">
        <v>2</v>
      </c>
      <c r="B330" s="125"/>
      <c r="C330" s="167" t="s">
        <v>445</v>
      </c>
      <c r="D330" s="168"/>
      <c r="E330" s="9">
        <v>36</v>
      </c>
      <c r="F330" s="7" t="s">
        <v>223</v>
      </c>
      <c r="G330" s="7" t="s">
        <v>223</v>
      </c>
      <c r="H330" s="7" t="s">
        <v>223</v>
      </c>
    </row>
    <row r="331" spans="1:8" ht="14.4" customHeight="1">
      <c r="A331" s="9">
        <v>2</v>
      </c>
      <c r="B331" s="125"/>
      <c r="C331" s="167" t="s">
        <v>445</v>
      </c>
      <c r="D331" s="168"/>
      <c r="E331" s="9">
        <v>36</v>
      </c>
      <c r="F331" s="7" t="s">
        <v>223</v>
      </c>
      <c r="G331" s="7" t="s">
        <v>223</v>
      </c>
      <c r="H331" s="7" t="s">
        <v>223</v>
      </c>
    </row>
    <row r="332" spans="1:8" ht="14.4" customHeight="1">
      <c r="A332" s="9">
        <v>2</v>
      </c>
      <c r="B332" s="125"/>
      <c r="C332" s="167" t="s">
        <v>445</v>
      </c>
      <c r="D332" s="168"/>
      <c r="E332" s="9">
        <v>36</v>
      </c>
      <c r="F332" s="7" t="s">
        <v>223</v>
      </c>
      <c r="G332" s="7" t="s">
        <v>223</v>
      </c>
      <c r="H332" s="7" t="s">
        <v>223</v>
      </c>
    </row>
    <row r="333" spans="1:8" ht="14.4" customHeight="1">
      <c r="A333" s="9">
        <v>2</v>
      </c>
      <c r="B333" s="125"/>
      <c r="C333" s="167" t="s">
        <v>445</v>
      </c>
      <c r="D333" s="168"/>
      <c r="E333" s="9">
        <v>36</v>
      </c>
      <c r="F333" s="7" t="s">
        <v>223</v>
      </c>
      <c r="G333" s="7" t="s">
        <v>223</v>
      </c>
      <c r="H333" s="7" t="s">
        <v>223</v>
      </c>
    </row>
    <row r="334" spans="1:8" ht="14.4" customHeight="1">
      <c r="A334" s="9">
        <v>2</v>
      </c>
      <c r="B334" s="125"/>
      <c r="C334" s="167" t="s">
        <v>445</v>
      </c>
      <c r="D334" s="168"/>
      <c r="E334" s="9">
        <v>36</v>
      </c>
      <c r="F334" s="7" t="s">
        <v>223</v>
      </c>
      <c r="G334" s="7" t="s">
        <v>223</v>
      </c>
      <c r="H334" s="7" t="s">
        <v>223</v>
      </c>
    </row>
    <row r="335" spans="1:8" ht="14.4" customHeight="1">
      <c r="A335" s="9">
        <v>2</v>
      </c>
      <c r="B335" s="125"/>
      <c r="C335" s="167" t="s">
        <v>445</v>
      </c>
      <c r="D335" s="168"/>
      <c r="E335" s="9">
        <v>36</v>
      </c>
      <c r="F335" s="7" t="s">
        <v>223</v>
      </c>
      <c r="G335" s="7" t="s">
        <v>223</v>
      </c>
      <c r="H335" s="7" t="s">
        <v>223</v>
      </c>
    </row>
    <row r="336" spans="1:8" ht="14.4" customHeight="1">
      <c r="A336" s="9">
        <v>2</v>
      </c>
      <c r="B336" s="125"/>
      <c r="C336" s="167" t="s">
        <v>445</v>
      </c>
      <c r="D336" s="168"/>
      <c r="E336" s="9">
        <v>36</v>
      </c>
      <c r="F336" s="7" t="s">
        <v>223</v>
      </c>
      <c r="G336" s="7" t="s">
        <v>223</v>
      </c>
      <c r="H336" s="7" t="s">
        <v>223</v>
      </c>
    </row>
    <row r="337" spans="1:8" ht="14.4" customHeight="1">
      <c r="A337" s="9">
        <v>2</v>
      </c>
      <c r="B337" s="125"/>
      <c r="C337" s="167" t="s">
        <v>445</v>
      </c>
      <c r="D337" s="168"/>
      <c r="E337" s="9">
        <v>36</v>
      </c>
      <c r="F337" s="7" t="s">
        <v>223</v>
      </c>
      <c r="G337" s="7" t="s">
        <v>223</v>
      </c>
      <c r="H337" s="7" t="s">
        <v>223</v>
      </c>
    </row>
    <row r="338" spans="1:8" ht="14.4" customHeight="1">
      <c r="A338" s="9">
        <v>2</v>
      </c>
      <c r="B338" s="125"/>
      <c r="C338" s="167" t="s">
        <v>445</v>
      </c>
      <c r="D338" s="168"/>
      <c r="E338" s="9">
        <v>36</v>
      </c>
      <c r="F338" s="7" t="s">
        <v>223</v>
      </c>
      <c r="G338" s="7" t="s">
        <v>223</v>
      </c>
      <c r="H338" s="7" t="s">
        <v>223</v>
      </c>
    </row>
    <row r="339" spans="1:8" ht="14.4" customHeight="1">
      <c r="A339" s="9">
        <v>2</v>
      </c>
      <c r="B339" s="125"/>
      <c r="C339" s="167" t="s">
        <v>445</v>
      </c>
      <c r="D339" s="168"/>
      <c r="E339" s="9">
        <v>36</v>
      </c>
      <c r="F339" s="7" t="s">
        <v>223</v>
      </c>
      <c r="G339" s="7" t="s">
        <v>223</v>
      </c>
      <c r="H339" s="7" t="s">
        <v>223</v>
      </c>
    </row>
    <row r="340" spans="1:8" ht="14.4" customHeight="1">
      <c r="A340" s="9">
        <v>2</v>
      </c>
      <c r="B340" s="125"/>
      <c r="C340" s="167" t="s">
        <v>445</v>
      </c>
      <c r="D340" s="168"/>
      <c r="E340" s="9">
        <v>36</v>
      </c>
      <c r="F340" s="7" t="s">
        <v>223</v>
      </c>
      <c r="G340" s="7" t="s">
        <v>223</v>
      </c>
      <c r="H340" s="7" t="s">
        <v>223</v>
      </c>
    </row>
    <row r="341" spans="1:8" ht="14.4" customHeight="1">
      <c r="A341" s="9">
        <v>2</v>
      </c>
      <c r="B341" s="125"/>
      <c r="C341" s="167" t="s">
        <v>445</v>
      </c>
      <c r="D341" s="168"/>
      <c r="E341" s="9">
        <v>36</v>
      </c>
      <c r="F341" s="7" t="s">
        <v>223</v>
      </c>
      <c r="G341" s="7" t="s">
        <v>223</v>
      </c>
      <c r="H341" s="7" t="s">
        <v>223</v>
      </c>
    </row>
    <row r="342" spans="1:8" ht="14.4" customHeight="1">
      <c r="A342" s="9">
        <v>2</v>
      </c>
      <c r="B342" s="125"/>
      <c r="C342" s="167" t="s">
        <v>445</v>
      </c>
      <c r="D342" s="168"/>
      <c r="E342" s="9">
        <v>36</v>
      </c>
      <c r="F342" s="7" t="s">
        <v>223</v>
      </c>
      <c r="G342" s="7" t="s">
        <v>223</v>
      </c>
      <c r="H342" s="7" t="s">
        <v>223</v>
      </c>
    </row>
    <row r="343" spans="1:8" ht="14.4" customHeight="1">
      <c r="A343" s="9">
        <v>2</v>
      </c>
      <c r="B343" s="125"/>
      <c r="C343" s="167" t="s">
        <v>445</v>
      </c>
      <c r="D343" s="168"/>
      <c r="E343" s="9">
        <v>36</v>
      </c>
      <c r="F343" s="7" t="s">
        <v>223</v>
      </c>
      <c r="G343" s="7" t="s">
        <v>223</v>
      </c>
      <c r="H343" s="7" t="s">
        <v>223</v>
      </c>
    </row>
    <row r="344" spans="1:8" ht="14.4" customHeight="1">
      <c r="A344" s="9">
        <v>2</v>
      </c>
      <c r="B344" s="125"/>
      <c r="C344" s="167" t="s">
        <v>445</v>
      </c>
      <c r="D344" s="168"/>
      <c r="E344" s="9">
        <v>36</v>
      </c>
      <c r="F344" s="7" t="s">
        <v>223</v>
      </c>
      <c r="G344" s="7" t="s">
        <v>223</v>
      </c>
      <c r="H344" s="7" t="s">
        <v>223</v>
      </c>
    </row>
    <row r="345" spans="1:8" ht="14.4" customHeight="1">
      <c r="A345" s="9">
        <v>3</v>
      </c>
      <c r="B345" s="125"/>
      <c r="C345" s="167" t="s">
        <v>446</v>
      </c>
      <c r="D345" s="168"/>
      <c r="E345" s="9">
        <v>36</v>
      </c>
      <c r="F345" s="7" t="s">
        <v>232</v>
      </c>
      <c r="G345" s="7" t="s">
        <v>232</v>
      </c>
      <c r="H345" s="7" t="s">
        <v>232</v>
      </c>
    </row>
    <row r="346" spans="1:8" ht="14.4" customHeight="1">
      <c r="A346" s="9">
        <v>3</v>
      </c>
      <c r="B346" s="125"/>
      <c r="C346" s="167" t="s">
        <v>446</v>
      </c>
      <c r="D346" s="168"/>
      <c r="E346" s="9">
        <v>36</v>
      </c>
      <c r="F346" s="7" t="s">
        <v>232</v>
      </c>
      <c r="G346" s="7" t="s">
        <v>232</v>
      </c>
      <c r="H346" s="7" t="s">
        <v>232</v>
      </c>
    </row>
    <row r="347" spans="1:8" ht="14.4" customHeight="1">
      <c r="A347" s="9">
        <v>3</v>
      </c>
      <c r="B347" s="125"/>
      <c r="C347" s="167" t="s">
        <v>446</v>
      </c>
      <c r="D347" s="168"/>
      <c r="E347" s="9">
        <v>36</v>
      </c>
      <c r="F347" s="7" t="s">
        <v>232</v>
      </c>
      <c r="G347" s="7" t="s">
        <v>232</v>
      </c>
      <c r="H347" s="7" t="s">
        <v>232</v>
      </c>
    </row>
    <row r="348" spans="1:8" ht="14.4" customHeight="1">
      <c r="A348" s="9">
        <v>3</v>
      </c>
      <c r="B348" s="125"/>
      <c r="C348" s="167" t="s">
        <v>446</v>
      </c>
      <c r="D348" s="168"/>
      <c r="E348" s="9">
        <v>36</v>
      </c>
      <c r="F348" s="7" t="s">
        <v>232</v>
      </c>
      <c r="G348" s="7" t="s">
        <v>232</v>
      </c>
      <c r="H348" s="7" t="s">
        <v>232</v>
      </c>
    </row>
    <row r="349" spans="1:8" ht="14.4" customHeight="1">
      <c r="A349" s="9">
        <v>3</v>
      </c>
      <c r="B349" s="125"/>
      <c r="C349" s="167" t="s">
        <v>446</v>
      </c>
      <c r="D349" s="168"/>
      <c r="E349" s="9">
        <v>36</v>
      </c>
      <c r="F349" s="7" t="s">
        <v>232</v>
      </c>
      <c r="G349" s="7" t="s">
        <v>232</v>
      </c>
      <c r="H349" s="7" t="s">
        <v>232</v>
      </c>
    </row>
    <row r="350" spans="1:8" ht="14.4" customHeight="1">
      <c r="A350" s="9">
        <v>3</v>
      </c>
      <c r="B350" s="125"/>
      <c r="C350" s="167" t="s">
        <v>446</v>
      </c>
      <c r="D350" s="168"/>
      <c r="E350" s="9">
        <v>36</v>
      </c>
      <c r="F350" s="7" t="s">
        <v>232</v>
      </c>
      <c r="G350" s="7" t="s">
        <v>232</v>
      </c>
      <c r="H350" s="7" t="s">
        <v>232</v>
      </c>
    </row>
    <row r="351" spans="1:8" ht="14.4" customHeight="1">
      <c r="A351" s="9">
        <v>3</v>
      </c>
      <c r="B351" s="125"/>
      <c r="C351" s="167" t="s">
        <v>446</v>
      </c>
      <c r="D351" s="168"/>
      <c r="E351" s="9">
        <v>36</v>
      </c>
      <c r="F351" s="7" t="s">
        <v>232</v>
      </c>
      <c r="G351" s="7" t="s">
        <v>232</v>
      </c>
      <c r="H351" s="7" t="s">
        <v>232</v>
      </c>
    </row>
    <row r="352" spans="1:8" ht="14.4" customHeight="1">
      <c r="A352" s="9">
        <v>3</v>
      </c>
      <c r="B352" s="125"/>
      <c r="C352" s="167" t="s">
        <v>446</v>
      </c>
      <c r="D352" s="168"/>
      <c r="E352" s="9">
        <v>36</v>
      </c>
      <c r="F352" s="7" t="s">
        <v>232</v>
      </c>
      <c r="G352" s="7" t="s">
        <v>232</v>
      </c>
      <c r="H352" s="7" t="s">
        <v>232</v>
      </c>
    </row>
    <row r="353" spans="1:8" ht="14.4" customHeight="1">
      <c r="A353" s="9">
        <v>3</v>
      </c>
      <c r="B353" s="125"/>
      <c r="C353" s="167" t="s">
        <v>446</v>
      </c>
      <c r="D353" s="168"/>
      <c r="E353" s="9">
        <v>36</v>
      </c>
      <c r="F353" s="7" t="s">
        <v>232</v>
      </c>
      <c r="G353" s="7" t="s">
        <v>232</v>
      </c>
      <c r="H353" s="7" t="s">
        <v>232</v>
      </c>
    </row>
    <row r="354" spans="1:8" ht="14.4" customHeight="1">
      <c r="A354" s="9">
        <v>3</v>
      </c>
      <c r="B354" s="125"/>
      <c r="C354" s="167" t="s">
        <v>446</v>
      </c>
      <c r="D354" s="168"/>
      <c r="E354" s="9">
        <v>36</v>
      </c>
      <c r="F354" s="7" t="s">
        <v>232</v>
      </c>
      <c r="G354" s="7" t="s">
        <v>232</v>
      </c>
      <c r="H354" s="7" t="s">
        <v>232</v>
      </c>
    </row>
    <row r="355" spans="1:8" ht="14.4" customHeight="1">
      <c r="A355" s="9">
        <v>3</v>
      </c>
      <c r="B355" s="125"/>
      <c r="C355" s="167" t="s">
        <v>446</v>
      </c>
      <c r="D355" s="168"/>
      <c r="E355" s="9">
        <v>36</v>
      </c>
      <c r="F355" s="7" t="s">
        <v>232</v>
      </c>
      <c r="G355" s="7" t="s">
        <v>232</v>
      </c>
      <c r="H355" s="7" t="s">
        <v>232</v>
      </c>
    </row>
    <row r="356" spans="1:8" ht="14.4" customHeight="1">
      <c r="A356" s="9">
        <v>3</v>
      </c>
      <c r="B356" s="125"/>
      <c r="C356" s="167" t="s">
        <v>446</v>
      </c>
      <c r="D356" s="168"/>
      <c r="E356" s="9">
        <v>36</v>
      </c>
      <c r="F356" s="7" t="s">
        <v>232</v>
      </c>
      <c r="G356" s="7" t="s">
        <v>232</v>
      </c>
      <c r="H356" s="7" t="s">
        <v>232</v>
      </c>
    </row>
    <row r="357" spans="1:8" ht="14.4" customHeight="1">
      <c r="A357" s="9">
        <v>3</v>
      </c>
      <c r="B357" s="125"/>
      <c r="C357" s="167" t="s">
        <v>446</v>
      </c>
      <c r="D357" s="168"/>
      <c r="E357" s="9">
        <v>36</v>
      </c>
      <c r="F357" s="7" t="s">
        <v>232</v>
      </c>
      <c r="G357" s="7" t="s">
        <v>232</v>
      </c>
      <c r="H357" s="7" t="s">
        <v>232</v>
      </c>
    </row>
    <row r="358" spans="1:8" ht="14.4" customHeight="1">
      <c r="A358" s="9">
        <v>3</v>
      </c>
      <c r="B358" s="125"/>
      <c r="C358" s="167" t="s">
        <v>446</v>
      </c>
      <c r="D358" s="168"/>
      <c r="E358" s="9">
        <v>36</v>
      </c>
      <c r="F358" s="7" t="s">
        <v>232</v>
      </c>
      <c r="G358" s="7" t="s">
        <v>232</v>
      </c>
      <c r="H358" s="7" t="s">
        <v>232</v>
      </c>
    </row>
    <row r="359" spans="1:8" ht="14.4" customHeight="1">
      <c r="A359" s="9">
        <v>3</v>
      </c>
      <c r="B359" s="125"/>
      <c r="C359" s="167" t="s">
        <v>446</v>
      </c>
      <c r="D359" s="168"/>
      <c r="E359" s="9">
        <v>36</v>
      </c>
      <c r="F359" s="7" t="s">
        <v>232</v>
      </c>
      <c r="G359" s="7" t="s">
        <v>232</v>
      </c>
      <c r="H359" s="7" t="s">
        <v>232</v>
      </c>
    </row>
    <row r="360" spans="1:8" ht="14.4" customHeight="1">
      <c r="A360" s="9">
        <v>3</v>
      </c>
      <c r="B360" s="125"/>
      <c r="C360" s="167" t="s">
        <v>446</v>
      </c>
      <c r="D360" s="168"/>
      <c r="E360" s="9">
        <v>36</v>
      </c>
      <c r="F360" s="7" t="s">
        <v>232</v>
      </c>
      <c r="G360" s="7" t="s">
        <v>232</v>
      </c>
      <c r="H360" s="7" t="s">
        <v>232</v>
      </c>
    </row>
    <row r="361" spans="1:8" ht="14.4" customHeight="1">
      <c r="A361" s="9">
        <v>3</v>
      </c>
      <c r="B361" s="125"/>
      <c r="C361" s="167" t="s">
        <v>446</v>
      </c>
      <c r="D361" s="168"/>
      <c r="E361" s="9">
        <v>36</v>
      </c>
      <c r="F361" s="7" t="s">
        <v>232</v>
      </c>
      <c r="G361" s="7" t="s">
        <v>232</v>
      </c>
      <c r="H361" s="7" t="s">
        <v>232</v>
      </c>
    </row>
    <row r="362" spans="1:8" ht="14.4" customHeight="1">
      <c r="A362" s="9">
        <v>3</v>
      </c>
      <c r="B362" s="125"/>
      <c r="C362" s="167" t="s">
        <v>446</v>
      </c>
      <c r="D362" s="168"/>
      <c r="E362" s="9">
        <v>36</v>
      </c>
      <c r="F362" s="7" t="s">
        <v>232</v>
      </c>
      <c r="G362" s="7" t="s">
        <v>232</v>
      </c>
      <c r="H362" s="7" t="s">
        <v>232</v>
      </c>
    </row>
    <row r="363" spans="1:8" ht="14.4" customHeight="1">
      <c r="A363" s="9">
        <v>3</v>
      </c>
      <c r="B363" s="125"/>
      <c r="C363" s="167" t="s">
        <v>446</v>
      </c>
      <c r="D363" s="168"/>
      <c r="E363" s="9">
        <v>36</v>
      </c>
      <c r="F363" s="7" t="s">
        <v>232</v>
      </c>
      <c r="G363" s="7" t="s">
        <v>232</v>
      </c>
      <c r="H363" s="7" t="s">
        <v>232</v>
      </c>
    </row>
    <row r="364" spans="1:8" ht="14.4" customHeight="1">
      <c r="A364" s="9">
        <v>3</v>
      </c>
      <c r="B364" s="125"/>
      <c r="C364" s="167" t="s">
        <v>446</v>
      </c>
      <c r="D364" s="168"/>
      <c r="E364" s="9">
        <v>36</v>
      </c>
      <c r="F364" s="7" t="s">
        <v>232</v>
      </c>
      <c r="G364" s="7" t="s">
        <v>232</v>
      </c>
      <c r="H364" s="7" t="s">
        <v>232</v>
      </c>
    </row>
    <row r="365" spans="1:8" ht="14.4" customHeight="1">
      <c r="A365" s="9">
        <v>3</v>
      </c>
      <c r="B365" s="125"/>
      <c r="C365" s="167" t="s">
        <v>446</v>
      </c>
      <c r="D365" s="168"/>
      <c r="E365" s="9">
        <v>36</v>
      </c>
      <c r="F365" s="7" t="s">
        <v>232</v>
      </c>
      <c r="G365" s="7" t="s">
        <v>232</v>
      </c>
      <c r="H365" s="7" t="s">
        <v>232</v>
      </c>
    </row>
    <row r="366" spans="1:8" ht="14.4" customHeight="1">
      <c r="A366" s="9">
        <v>3</v>
      </c>
      <c r="B366" s="125"/>
      <c r="C366" s="167" t="s">
        <v>446</v>
      </c>
      <c r="D366" s="168"/>
      <c r="E366" s="9">
        <v>36</v>
      </c>
      <c r="F366" s="7" t="s">
        <v>232</v>
      </c>
      <c r="G366" s="7" t="s">
        <v>232</v>
      </c>
      <c r="H366" s="7" t="s">
        <v>232</v>
      </c>
    </row>
    <row r="367" spans="1:8" ht="14.4" customHeight="1">
      <c r="A367" s="9">
        <v>3</v>
      </c>
      <c r="B367" s="125"/>
      <c r="C367" s="167" t="s">
        <v>446</v>
      </c>
      <c r="D367" s="168"/>
      <c r="E367" s="9">
        <v>36</v>
      </c>
      <c r="F367" s="7" t="s">
        <v>232</v>
      </c>
      <c r="G367" s="7" t="s">
        <v>232</v>
      </c>
      <c r="H367" s="7" t="s">
        <v>232</v>
      </c>
    </row>
    <row r="368" spans="1:8" ht="14.4" customHeight="1">
      <c r="A368" s="9">
        <v>3</v>
      </c>
      <c r="B368" s="125"/>
      <c r="C368" s="167" t="s">
        <v>446</v>
      </c>
      <c r="D368" s="168"/>
      <c r="E368" s="9">
        <v>36</v>
      </c>
      <c r="F368" s="7" t="s">
        <v>232</v>
      </c>
      <c r="G368" s="7" t="s">
        <v>232</v>
      </c>
      <c r="H368" s="7" t="s">
        <v>232</v>
      </c>
    </row>
    <row r="369" spans="1:8" ht="14.4" customHeight="1">
      <c r="A369" s="9">
        <v>3</v>
      </c>
      <c r="B369" s="125"/>
      <c r="C369" s="167" t="s">
        <v>446</v>
      </c>
      <c r="D369" s="168"/>
      <c r="E369" s="9">
        <v>36</v>
      </c>
      <c r="F369" s="7" t="s">
        <v>232</v>
      </c>
      <c r="G369" s="7" t="s">
        <v>232</v>
      </c>
      <c r="H369" s="7" t="s">
        <v>232</v>
      </c>
    </row>
    <row r="370" spans="1:8" ht="14.4" customHeight="1">
      <c r="A370" s="9">
        <v>3</v>
      </c>
      <c r="B370" s="125"/>
      <c r="C370" s="167" t="s">
        <v>446</v>
      </c>
      <c r="D370" s="168"/>
      <c r="E370" s="9">
        <v>36</v>
      </c>
      <c r="F370" s="7" t="s">
        <v>232</v>
      </c>
      <c r="G370" s="7" t="s">
        <v>232</v>
      </c>
      <c r="H370" s="7" t="s">
        <v>232</v>
      </c>
    </row>
    <row r="371" spans="1:8" ht="14.4" customHeight="1">
      <c r="A371" s="9">
        <v>3</v>
      </c>
      <c r="B371" s="125"/>
      <c r="C371" s="167" t="s">
        <v>446</v>
      </c>
      <c r="D371" s="168"/>
      <c r="E371" s="9">
        <v>36</v>
      </c>
      <c r="F371" s="7" t="s">
        <v>232</v>
      </c>
      <c r="G371" s="7" t="s">
        <v>232</v>
      </c>
      <c r="H371" s="7" t="s">
        <v>232</v>
      </c>
    </row>
    <row r="372" spans="1:8" ht="14.4" customHeight="1">
      <c r="A372" s="9">
        <v>3</v>
      </c>
      <c r="B372" s="125"/>
      <c r="C372" s="167" t="s">
        <v>446</v>
      </c>
      <c r="D372" s="168"/>
      <c r="E372" s="9">
        <v>36</v>
      </c>
      <c r="F372" s="7" t="s">
        <v>232</v>
      </c>
      <c r="G372" s="7" t="s">
        <v>232</v>
      </c>
      <c r="H372" s="7" t="s">
        <v>232</v>
      </c>
    </row>
    <row r="373" spans="1:8" ht="14.4" customHeight="1">
      <c r="A373" s="9">
        <v>3</v>
      </c>
      <c r="B373" s="125"/>
      <c r="C373" s="167" t="s">
        <v>446</v>
      </c>
      <c r="D373" s="168"/>
      <c r="E373" s="9">
        <v>36</v>
      </c>
      <c r="F373" s="7" t="s">
        <v>232</v>
      </c>
      <c r="G373" s="7" t="s">
        <v>232</v>
      </c>
      <c r="H373" s="7" t="s">
        <v>232</v>
      </c>
    </row>
    <row r="374" spans="1:8" ht="14.4" customHeight="1">
      <c r="A374" s="9">
        <v>3</v>
      </c>
      <c r="B374" s="125"/>
      <c r="C374" s="167" t="s">
        <v>446</v>
      </c>
      <c r="D374" s="168"/>
      <c r="E374" s="9">
        <v>36</v>
      </c>
      <c r="F374" s="7" t="s">
        <v>232</v>
      </c>
      <c r="G374" s="7" t="s">
        <v>232</v>
      </c>
      <c r="H374" s="7" t="s">
        <v>232</v>
      </c>
    </row>
    <row r="375" spans="1:8" ht="14.4" customHeight="1">
      <c r="A375" s="9">
        <v>3</v>
      </c>
      <c r="B375" s="125"/>
      <c r="C375" s="167" t="s">
        <v>446</v>
      </c>
      <c r="D375" s="168"/>
      <c r="E375" s="9">
        <v>36</v>
      </c>
      <c r="F375" s="7" t="s">
        <v>232</v>
      </c>
      <c r="G375" s="7" t="s">
        <v>232</v>
      </c>
      <c r="H375" s="7" t="s">
        <v>232</v>
      </c>
    </row>
    <row r="376" spans="1:8" ht="14.4" customHeight="1">
      <c r="A376" s="9">
        <v>3</v>
      </c>
      <c r="B376" s="125"/>
      <c r="C376" s="167" t="s">
        <v>446</v>
      </c>
      <c r="D376" s="168"/>
      <c r="E376" s="9">
        <v>36</v>
      </c>
      <c r="F376" s="7" t="s">
        <v>232</v>
      </c>
      <c r="G376" s="7" t="s">
        <v>232</v>
      </c>
      <c r="H376" s="7" t="s">
        <v>232</v>
      </c>
    </row>
    <row r="377" spans="1:8" ht="14.4" customHeight="1">
      <c r="A377" s="9">
        <v>3</v>
      </c>
      <c r="B377" s="125"/>
      <c r="C377" s="167" t="s">
        <v>446</v>
      </c>
      <c r="D377" s="168"/>
      <c r="E377" s="9">
        <v>36</v>
      </c>
      <c r="F377" s="7" t="s">
        <v>232</v>
      </c>
      <c r="G377" s="7" t="s">
        <v>232</v>
      </c>
      <c r="H377" s="7" t="s">
        <v>232</v>
      </c>
    </row>
    <row r="378" spans="1:8" ht="14.4" customHeight="1">
      <c r="A378" s="9">
        <v>3</v>
      </c>
      <c r="B378" s="125"/>
      <c r="C378" s="167" t="s">
        <v>446</v>
      </c>
      <c r="D378" s="168"/>
      <c r="E378" s="9">
        <v>36</v>
      </c>
      <c r="F378" s="7" t="s">
        <v>232</v>
      </c>
      <c r="G378" s="7" t="s">
        <v>232</v>
      </c>
      <c r="H378" s="7" t="s">
        <v>232</v>
      </c>
    </row>
    <row r="379" spans="1:8" ht="14.4" customHeight="1">
      <c r="A379" s="9">
        <v>3</v>
      </c>
      <c r="B379" s="125"/>
      <c r="C379" s="167" t="s">
        <v>446</v>
      </c>
      <c r="D379" s="168"/>
      <c r="E379" s="9">
        <v>36</v>
      </c>
      <c r="F379" s="7" t="s">
        <v>232</v>
      </c>
      <c r="G379" s="7" t="s">
        <v>232</v>
      </c>
      <c r="H379" s="7" t="s">
        <v>232</v>
      </c>
    </row>
    <row r="380" spans="1:8" ht="14.4" customHeight="1">
      <c r="A380" s="9">
        <v>3</v>
      </c>
      <c r="B380" s="125"/>
      <c r="C380" s="167" t="s">
        <v>446</v>
      </c>
      <c r="D380" s="168"/>
      <c r="E380" s="9">
        <v>36</v>
      </c>
      <c r="F380" s="7" t="s">
        <v>232</v>
      </c>
      <c r="G380" s="7" t="s">
        <v>232</v>
      </c>
      <c r="H380" s="7" t="s">
        <v>232</v>
      </c>
    </row>
    <row r="381" spans="1:8" ht="51">
      <c r="A381" s="9">
        <v>1</v>
      </c>
      <c r="B381" s="9"/>
      <c r="C381" s="10" t="s">
        <v>333</v>
      </c>
      <c r="D381" s="10" t="s">
        <v>334</v>
      </c>
      <c r="E381" s="9">
        <v>1</v>
      </c>
      <c r="F381" s="25" t="s">
        <v>335</v>
      </c>
      <c r="G381" s="25" t="s">
        <v>336</v>
      </c>
      <c r="H381" s="25" t="s">
        <v>207</v>
      </c>
    </row>
    <row r="382" spans="1:8" ht="30.6" customHeight="1">
      <c r="A382" s="191">
        <v>2</v>
      </c>
      <c r="B382" s="100"/>
      <c r="C382" s="200" t="s">
        <v>84</v>
      </c>
      <c r="D382" s="10" t="s">
        <v>337</v>
      </c>
      <c r="E382" s="191">
        <v>1</v>
      </c>
      <c r="F382" s="186" t="s">
        <v>338</v>
      </c>
      <c r="G382" s="186" t="s">
        <v>338</v>
      </c>
      <c r="H382" s="186" t="s">
        <v>338</v>
      </c>
    </row>
    <row r="383" spans="1:8" ht="40.799999999999997">
      <c r="A383" s="192"/>
      <c r="B383" s="101"/>
      <c r="C383" s="201"/>
      <c r="D383" s="12" t="s">
        <v>85</v>
      </c>
      <c r="E383" s="192"/>
      <c r="F383" s="187"/>
      <c r="G383" s="187"/>
      <c r="H383" s="187"/>
    </row>
    <row r="384" spans="1:8" ht="51">
      <c r="A384" s="193"/>
      <c r="B384" s="102"/>
      <c r="C384" s="202"/>
      <c r="D384" s="7" t="s">
        <v>339</v>
      </c>
      <c r="E384" s="193"/>
      <c r="F384" s="26"/>
      <c r="G384" s="26"/>
      <c r="H384" s="26"/>
    </row>
    <row r="385" spans="1:8" ht="30.6">
      <c r="A385" s="191">
        <v>3</v>
      </c>
      <c r="B385" s="100"/>
      <c r="C385" s="194" t="s">
        <v>340</v>
      </c>
      <c r="D385" s="10" t="s">
        <v>341</v>
      </c>
      <c r="E385" s="191">
        <v>2</v>
      </c>
      <c r="F385" s="197" t="s">
        <v>51</v>
      </c>
      <c r="G385" s="169" t="s">
        <v>61</v>
      </c>
      <c r="H385" s="188" t="s">
        <v>59</v>
      </c>
    </row>
    <row r="386" spans="1:8" ht="30.6">
      <c r="A386" s="192"/>
      <c r="B386" s="100"/>
      <c r="C386" s="195"/>
      <c r="D386" s="10" t="s">
        <v>341</v>
      </c>
      <c r="E386" s="192"/>
      <c r="F386" s="198"/>
      <c r="G386" s="170"/>
      <c r="H386" s="189"/>
    </row>
    <row r="387" spans="1:8" ht="40.799999999999997">
      <c r="A387" s="193"/>
      <c r="B387" s="102"/>
      <c r="C387" s="196"/>
      <c r="D387" s="10" t="s">
        <v>342</v>
      </c>
      <c r="E387" s="193"/>
      <c r="F387" s="199"/>
      <c r="G387" s="171"/>
      <c r="H387" s="190"/>
    </row>
    <row r="388" spans="1:8" ht="51">
      <c r="A388" s="21">
        <v>4</v>
      </c>
      <c r="B388" s="21"/>
      <c r="C388" s="13" t="s">
        <v>325</v>
      </c>
      <c r="D388" s="7" t="s">
        <v>343</v>
      </c>
      <c r="E388" s="6">
        <v>1</v>
      </c>
      <c r="F388" s="8" t="s">
        <v>163</v>
      </c>
      <c r="G388" s="8" t="s">
        <v>159</v>
      </c>
      <c r="H388" s="25" t="s">
        <v>335</v>
      </c>
    </row>
    <row r="389" spans="1:8" ht="71.400000000000006">
      <c r="A389" s="21">
        <v>5</v>
      </c>
      <c r="B389" s="21"/>
      <c r="C389" s="7" t="s">
        <v>344</v>
      </c>
      <c r="D389" s="7" t="s">
        <v>345</v>
      </c>
      <c r="E389" s="6">
        <v>3</v>
      </c>
      <c r="F389" s="27" t="s">
        <v>338</v>
      </c>
      <c r="G389" s="27" t="s">
        <v>338</v>
      </c>
      <c r="H389" s="27" t="s">
        <v>338</v>
      </c>
    </row>
    <row r="390" spans="1:8" ht="71.400000000000006">
      <c r="A390" s="21">
        <v>5</v>
      </c>
      <c r="B390" s="21"/>
      <c r="C390" s="7" t="s">
        <v>344</v>
      </c>
      <c r="D390" s="7" t="s">
        <v>345</v>
      </c>
      <c r="E390" s="6">
        <v>3</v>
      </c>
      <c r="F390" s="27" t="s">
        <v>338</v>
      </c>
      <c r="G390" s="27" t="s">
        <v>338</v>
      </c>
      <c r="H390" s="27" t="s">
        <v>338</v>
      </c>
    </row>
    <row r="391" spans="1:8" ht="71.400000000000006">
      <c r="A391" s="21">
        <v>5</v>
      </c>
      <c r="B391" s="21"/>
      <c r="C391" s="7" t="s">
        <v>344</v>
      </c>
      <c r="D391" s="7" t="s">
        <v>345</v>
      </c>
      <c r="E391" s="6">
        <v>3</v>
      </c>
      <c r="F391" s="27" t="s">
        <v>338</v>
      </c>
      <c r="G391" s="27" t="s">
        <v>338</v>
      </c>
      <c r="H391" s="27" t="s">
        <v>338</v>
      </c>
    </row>
    <row r="392" spans="1:8" ht="91.8">
      <c r="A392" s="21">
        <v>6</v>
      </c>
      <c r="B392" s="21"/>
      <c r="C392" s="7" t="s">
        <v>346</v>
      </c>
      <c r="D392" s="13" t="s">
        <v>347</v>
      </c>
      <c r="E392" s="6">
        <v>4</v>
      </c>
      <c r="F392" s="24" t="s">
        <v>83</v>
      </c>
      <c r="G392" s="24" t="s">
        <v>83</v>
      </c>
      <c r="H392" s="24" t="s">
        <v>83</v>
      </c>
    </row>
    <row r="393" spans="1:8" ht="91.8">
      <c r="A393" s="21">
        <v>6</v>
      </c>
      <c r="B393" s="21"/>
      <c r="C393" s="7" t="s">
        <v>346</v>
      </c>
      <c r="D393" s="13" t="s">
        <v>347</v>
      </c>
      <c r="E393" s="6">
        <v>4</v>
      </c>
      <c r="F393" s="24" t="s">
        <v>83</v>
      </c>
      <c r="G393" s="24" t="s">
        <v>83</v>
      </c>
      <c r="H393" s="24" t="s">
        <v>83</v>
      </c>
    </row>
    <row r="394" spans="1:8" ht="91.8">
      <c r="A394" s="21">
        <v>6</v>
      </c>
      <c r="B394" s="21"/>
      <c r="C394" s="7" t="s">
        <v>346</v>
      </c>
      <c r="D394" s="13" t="s">
        <v>347</v>
      </c>
      <c r="E394" s="6">
        <v>4</v>
      </c>
      <c r="F394" s="24" t="s">
        <v>83</v>
      </c>
      <c r="G394" s="24" t="s">
        <v>83</v>
      </c>
      <c r="H394" s="24" t="s">
        <v>83</v>
      </c>
    </row>
    <row r="395" spans="1:8" ht="91.8">
      <c r="A395" s="21">
        <v>6</v>
      </c>
      <c r="B395" s="21"/>
      <c r="C395" s="7" t="s">
        <v>346</v>
      </c>
      <c r="D395" s="13" t="s">
        <v>347</v>
      </c>
      <c r="E395" s="6">
        <v>4</v>
      </c>
      <c r="F395" s="24" t="s">
        <v>83</v>
      </c>
      <c r="G395" s="24" t="s">
        <v>83</v>
      </c>
      <c r="H395" s="24" t="s">
        <v>83</v>
      </c>
    </row>
    <row r="396" spans="1:8" ht="40.799999999999997">
      <c r="A396" s="21">
        <v>7</v>
      </c>
      <c r="B396" s="21"/>
      <c r="C396" s="12" t="s">
        <v>86</v>
      </c>
      <c r="D396" s="10" t="s">
        <v>348</v>
      </c>
      <c r="E396" s="6">
        <v>3</v>
      </c>
      <c r="F396" s="24" t="s">
        <v>83</v>
      </c>
      <c r="G396" s="24" t="s">
        <v>83</v>
      </c>
      <c r="H396" s="24" t="s">
        <v>83</v>
      </c>
    </row>
    <row r="397" spans="1:8" ht="40.799999999999997">
      <c r="A397" s="21">
        <v>7</v>
      </c>
      <c r="B397" s="21"/>
      <c r="C397" s="12" t="s">
        <v>86</v>
      </c>
      <c r="D397" s="10" t="s">
        <v>348</v>
      </c>
      <c r="E397" s="6">
        <v>3</v>
      </c>
      <c r="F397" s="24" t="s">
        <v>83</v>
      </c>
      <c r="G397" s="24" t="s">
        <v>83</v>
      </c>
      <c r="H397" s="24" t="s">
        <v>83</v>
      </c>
    </row>
    <row r="398" spans="1:8" ht="40.799999999999997">
      <c r="A398" s="21">
        <v>7</v>
      </c>
      <c r="B398" s="21"/>
      <c r="C398" s="12" t="s">
        <v>86</v>
      </c>
      <c r="D398" s="10" t="s">
        <v>348</v>
      </c>
      <c r="E398" s="6">
        <v>3</v>
      </c>
      <c r="F398" s="24" t="s">
        <v>83</v>
      </c>
      <c r="G398" s="24" t="s">
        <v>83</v>
      </c>
      <c r="H398" s="24" t="s">
        <v>83</v>
      </c>
    </row>
    <row r="399" spans="1:8">
      <c r="A399" s="28">
        <v>8</v>
      </c>
      <c r="B399" s="28"/>
      <c r="C399" s="7" t="s">
        <v>299</v>
      </c>
      <c r="D399" s="7" t="s">
        <v>349</v>
      </c>
      <c r="E399" s="172"/>
      <c r="F399" s="173"/>
      <c r="G399" s="173"/>
    </row>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row r="1002" ht="12.75" customHeight="1"/>
    <row r="1003" ht="12.75" customHeight="1"/>
    <row r="1004" ht="12.75" customHeight="1"/>
    <row r="1005" ht="12.75" customHeight="1"/>
    <row r="1006" ht="12.75" customHeight="1"/>
    <row r="1007" ht="12.75" customHeight="1"/>
    <row r="1008" ht="12.75" customHeight="1"/>
    <row r="1009" ht="12.75" customHeight="1"/>
    <row r="1010" ht="12.75" customHeight="1"/>
    <row r="1011" ht="12.75" customHeight="1"/>
    <row r="1012" ht="12.75" customHeight="1"/>
    <row r="1013" ht="12.75" customHeight="1"/>
    <row r="1014" ht="12.75" customHeight="1"/>
    <row r="1015" ht="12.75" customHeight="1"/>
    <row r="1016" ht="12.75" customHeight="1"/>
    <row r="1017" ht="12.75" customHeight="1"/>
    <row r="1018" ht="12.75" customHeight="1"/>
    <row r="1019" ht="12.75" customHeight="1"/>
    <row r="1020" ht="12.75" customHeight="1"/>
    <row r="1021" ht="12.75" customHeight="1"/>
    <row r="1022" ht="12.75" customHeight="1"/>
    <row r="1023" ht="12.75" customHeight="1"/>
    <row r="1024" ht="12.75" customHeight="1"/>
    <row r="1025" ht="12.75" customHeight="1"/>
    <row r="1026" ht="12.75" customHeight="1"/>
    <row r="1027" ht="12.75" customHeight="1"/>
    <row r="1028" ht="12.75" customHeight="1"/>
    <row r="1343" ht="12.75" customHeight="1"/>
    <row r="1344" ht="12.75" customHeight="1"/>
    <row r="1345" ht="12.75" customHeight="1"/>
    <row r="1346" ht="12.75" customHeight="1"/>
    <row r="1360" ht="22.5" customHeight="1"/>
    <row r="1361" ht="22.5" customHeight="1"/>
    <row r="1362" ht="22.5" customHeight="1"/>
    <row r="1363" ht="22.5" customHeight="1"/>
  </sheetData>
  <mergeCells count="194">
    <mergeCell ref="B2:B7"/>
    <mergeCell ref="C37:C48"/>
    <mergeCell ref="A80:A83"/>
    <mergeCell ref="C80:C83"/>
    <mergeCell ref="A85:A93"/>
    <mergeCell ref="C85:C93"/>
    <mergeCell ref="A94:A95"/>
    <mergeCell ref="C94:C95"/>
    <mergeCell ref="A96:A101"/>
    <mergeCell ref="C96:C101"/>
    <mergeCell ref="B8:B35"/>
    <mergeCell ref="C8:C22"/>
    <mergeCell ref="C24:C25"/>
    <mergeCell ref="C26:C32"/>
    <mergeCell ref="C33:C35"/>
    <mergeCell ref="A131:A139"/>
    <mergeCell ref="C131:C139"/>
    <mergeCell ref="A141:A145"/>
    <mergeCell ref="C141:C145"/>
    <mergeCell ref="A147:A149"/>
    <mergeCell ref="C147:C149"/>
    <mergeCell ref="A102:A110"/>
    <mergeCell ref="C102:C110"/>
    <mergeCell ref="A116:A122"/>
    <mergeCell ref="C116:C122"/>
    <mergeCell ref="A125:A128"/>
    <mergeCell ref="C125:C128"/>
    <mergeCell ref="A180:A183"/>
    <mergeCell ref="C180:C183"/>
    <mergeCell ref="A189:A195"/>
    <mergeCell ref="C189:C195"/>
    <mergeCell ref="A198:A208"/>
    <mergeCell ref="C198:C208"/>
    <mergeCell ref="A151:A160"/>
    <mergeCell ref="C151:C160"/>
    <mergeCell ref="A161:A170"/>
    <mergeCell ref="C161:C170"/>
    <mergeCell ref="A171:A179"/>
    <mergeCell ref="C171:C179"/>
    <mergeCell ref="A257:A259"/>
    <mergeCell ref="C257:C259"/>
    <mergeCell ref="E257:E259"/>
    <mergeCell ref="F257:F259"/>
    <mergeCell ref="G257:G259"/>
    <mergeCell ref="A210:A214"/>
    <mergeCell ref="C210:C214"/>
    <mergeCell ref="C216:C228"/>
    <mergeCell ref="C230:C242"/>
    <mergeCell ref="A251:A255"/>
    <mergeCell ref="C251:C255"/>
    <mergeCell ref="A263:A267"/>
    <mergeCell ref="C263:C267"/>
    <mergeCell ref="E263:E267"/>
    <mergeCell ref="F263:F267"/>
    <mergeCell ref="G263:G267"/>
    <mergeCell ref="A260:A262"/>
    <mergeCell ref="C260:C262"/>
    <mergeCell ref="E260:E262"/>
    <mergeCell ref="F260:F262"/>
    <mergeCell ref="A385:A387"/>
    <mergeCell ref="C385:C387"/>
    <mergeCell ref="E385:E387"/>
    <mergeCell ref="F385:F387"/>
    <mergeCell ref="G268:G270"/>
    <mergeCell ref="C273:D273"/>
    <mergeCell ref="C309:D309"/>
    <mergeCell ref="C345:D345"/>
    <mergeCell ref="A382:A384"/>
    <mergeCell ref="C382:C384"/>
    <mergeCell ref="E382:E384"/>
    <mergeCell ref="F382:F383"/>
    <mergeCell ref="G382:G383"/>
    <mergeCell ref="C346:D346"/>
    <mergeCell ref="C347:D347"/>
    <mergeCell ref="C348:D348"/>
    <mergeCell ref="C349:D349"/>
    <mergeCell ref="C350:D350"/>
    <mergeCell ref="C351:D351"/>
    <mergeCell ref="A268:A270"/>
    <mergeCell ref="C268:C270"/>
    <mergeCell ref="E268:E270"/>
    <mergeCell ref="F268:F270"/>
    <mergeCell ref="C352:D352"/>
    <mergeCell ref="C353:D353"/>
    <mergeCell ref="C354:D354"/>
    <mergeCell ref="C355:D355"/>
    <mergeCell ref="C356:D356"/>
    <mergeCell ref="G385:G387"/>
    <mergeCell ref="E399:G399"/>
    <mergeCell ref="H251:H255"/>
    <mergeCell ref="H257:H259"/>
    <mergeCell ref="H260:H262"/>
    <mergeCell ref="H263:H267"/>
    <mergeCell ref="H268:H270"/>
    <mergeCell ref="H382:H383"/>
    <mergeCell ref="H385:H387"/>
    <mergeCell ref="G260:G262"/>
    <mergeCell ref="E251:E255"/>
    <mergeCell ref="F251:F255"/>
    <mergeCell ref="G251:G255"/>
    <mergeCell ref="C370:D370"/>
    <mergeCell ref="C371:D371"/>
    <mergeCell ref="C362:D362"/>
    <mergeCell ref="C363:D363"/>
    <mergeCell ref="C364:D364"/>
    <mergeCell ref="C365:D365"/>
    <mergeCell ref="C366:D366"/>
    <mergeCell ref="C357:D357"/>
    <mergeCell ref="C358:D358"/>
    <mergeCell ref="C359:D359"/>
    <mergeCell ref="C360:D360"/>
    <mergeCell ref="C361:D361"/>
    <mergeCell ref="C377:D377"/>
    <mergeCell ref="C378:D378"/>
    <mergeCell ref="C379:D379"/>
    <mergeCell ref="C380:D380"/>
    <mergeCell ref="C310:D310"/>
    <mergeCell ref="C311:D311"/>
    <mergeCell ref="C312:D312"/>
    <mergeCell ref="C313:D313"/>
    <mergeCell ref="C314:D314"/>
    <mergeCell ref="C315:D315"/>
    <mergeCell ref="C316:D316"/>
    <mergeCell ref="C317:D317"/>
    <mergeCell ref="C318:D318"/>
    <mergeCell ref="C319:D319"/>
    <mergeCell ref="C320:D320"/>
    <mergeCell ref="C321:D321"/>
    <mergeCell ref="C372:D372"/>
    <mergeCell ref="C373:D373"/>
    <mergeCell ref="C374:D374"/>
    <mergeCell ref="C375:D375"/>
    <mergeCell ref="C376:D376"/>
    <mergeCell ref="C367:D367"/>
    <mergeCell ref="C368:D368"/>
    <mergeCell ref="C369:D369"/>
    <mergeCell ref="C335:D335"/>
    <mergeCell ref="C336:D336"/>
    <mergeCell ref="C327:D327"/>
    <mergeCell ref="C328:D328"/>
    <mergeCell ref="C329:D329"/>
    <mergeCell ref="C330:D330"/>
    <mergeCell ref="C331:D331"/>
    <mergeCell ref="C322:D322"/>
    <mergeCell ref="C323:D323"/>
    <mergeCell ref="C324:D324"/>
    <mergeCell ref="C325:D325"/>
    <mergeCell ref="C326:D326"/>
    <mergeCell ref="C342:D342"/>
    <mergeCell ref="C343:D343"/>
    <mergeCell ref="C344:D344"/>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337:D337"/>
    <mergeCell ref="C338:D338"/>
    <mergeCell ref="C339:D339"/>
    <mergeCell ref="C340:D340"/>
    <mergeCell ref="C341:D341"/>
    <mergeCell ref="C332:D332"/>
    <mergeCell ref="C333:D333"/>
    <mergeCell ref="C334:D334"/>
    <mergeCell ref="C292:D292"/>
    <mergeCell ref="C293:D293"/>
    <mergeCell ref="C294:D294"/>
    <mergeCell ref="C295:D295"/>
    <mergeCell ref="C296:D296"/>
    <mergeCell ref="C287:D287"/>
    <mergeCell ref="C288:D288"/>
    <mergeCell ref="C289:D289"/>
    <mergeCell ref="C290:D290"/>
    <mergeCell ref="C291:D291"/>
    <mergeCell ref="C307:D307"/>
    <mergeCell ref="C308:D308"/>
    <mergeCell ref="C302:D302"/>
    <mergeCell ref="C303:D303"/>
    <mergeCell ref="C304:D304"/>
    <mergeCell ref="C305:D305"/>
    <mergeCell ref="C306:D306"/>
    <mergeCell ref="C297:D297"/>
    <mergeCell ref="C298:D298"/>
    <mergeCell ref="C299:D299"/>
    <mergeCell ref="C300:D300"/>
    <mergeCell ref="C301:D301"/>
  </mergeCells>
  <phoneticPr fontId="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OURCE_Button2_Click">
                <anchor>
                  <from>
                    <xdr:col>12</xdr:col>
                    <xdr:colOff>396240</xdr:colOff>
                    <xdr:row>0</xdr:row>
                    <xdr:rowOff>259080</xdr:rowOff>
                  </from>
                  <to>
                    <xdr:col>14</xdr:col>
                    <xdr:colOff>541020</xdr:colOff>
                    <xdr:row>0</xdr:row>
                    <xdr:rowOff>533400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from>
                    <xdr:col>12</xdr:col>
                    <xdr:colOff>411480</xdr:colOff>
                    <xdr:row>2</xdr:row>
                    <xdr:rowOff>114300</xdr:rowOff>
                  </from>
                  <to>
                    <xdr:col>14</xdr:col>
                    <xdr:colOff>556260</xdr:colOff>
                    <xdr:row>3</xdr:row>
                    <xdr:rowOff>83820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SCHEDULE 86</vt:lpstr>
      <vt:lpstr>SCHEDULE 85</vt:lpstr>
      <vt:lpstr>SCHEDULE 66</vt:lpstr>
      <vt:lpstr>SCHEDULE 65</vt:lpstr>
      <vt:lpstr>SCHEDULE 46</vt:lpstr>
      <vt:lpstr>SCHEDULE 45</vt:lpstr>
      <vt:lpstr>WORK_PLACE2</vt:lpstr>
      <vt:lpstr>WORK_PLACE</vt:lpstr>
      <vt:lpstr>SOURCE</vt:lpstr>
      <vt:lpstr>'SCHEDULE 45'!Print_Area</vt:lpstr>
      <vt:lpstr>'SCHEDULE 46'!Print_Area</vt:lpstr>
      <vt:lpstr>'SCHEDULE 65'!Print_Area</vt:lpstr>
      <vt:lpstr>'SCHEDULE 66'!Print_Area</vt:lpstr>
      <vt:lpstr>'SCHEDULE 85'!Print_Area</vt:lpstr>
      <vt:lpstr>'SCHEDULE 86'!Print_Area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Priyanshu Malhotra</dc:creator>
  <cp:lastModifiedBy>Priyanshu Malhotra</cp:lastModifiedBy>
  <cp:lastPrinted>2025-01-03T09:27:14Z</cp:lastPrinted>
  <dcterms:created xsi:type="dcterms:W3CDTF">2024-12-13T13:40:50Z</dcterms:created>
  <dcterms:modified xsi:type="dcterms:W3CDTF">2025-01-03T11:58:55Z</dcterms:modified>
</cp:coreProperties>
</file>